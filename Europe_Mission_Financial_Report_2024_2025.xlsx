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ransactions" state="visible" r:id="rId4"/>
    <sheet sheetId="2" name="Quarterly Summary" state="visible" r:id="rId5"/>
    <sheet sheetId="3" name="Circuit Breakdown" state="visible" r:id="rId6"/>
    <sheet sheetId="4" name="Category Analysis" state="visible" r:id="rId7"/>
    <sheet sheetId="5" name="Inventory Movements" state="visible" r:id="rId8"/>
    <sheet sheetId="6" name="Outstanding Debts" state="visible" r:id="rId9"/>
    <sheet sheetId="7" name="Annual Comparison" state="visible" r:id="rId10"/>
    <sheet sheetId="8" name="Receipts Ledger" state="visible" r:id="rId11"/>
    <sheet sheetId="9" name="Payments Ledger" state="visible" r:id="rId12"/>
  </sheets>
  <calcPr calcId="171027"/>
</workbook>
</file>

<file path=xl/sharedStrings.xml><?xml version="1.0" encoding="utf-8"?>
<sst xmlns="http://schemas.openxmlformats.org/spreadsheetml/2006/main" count="1864" uniqueCount="317">
  <si>
    <t>Circuit</t>
  </si>
  <si>
    <t>The Methodist Church Ghana — Europe Mission</t>
  </si>
  <si>
    <t>#</t>
  </si>
  <si>
    <t>Date</t>
  </si>
  <si>
    <t>Quarter</t>
  </si>
  <si>
    <t>Type</t>
  </si>
  <si>
    <t>Category</t>
  </si>
  <si>
    <t>Description</t>
  </si>
  <si>
    <t>Receipts (€)</t>
  </si>
  <si>
    <t>Payments (€)</t>
  </si>
  <si>
    <t>2024-01-01</t>
  </si>
  <si>
    <t>Q1 2024</t>
  </si>
  <si>
    <t>RECEIPT</t>
  </si>
  <si>
    <t>Opening Balance</t>
  </si>
  <si>
    <t>Balance C/F from December 2023</t>
  </si>
  <si>
    <t/>
  </si>
  <si>
    <t>—</t>
  </si>
  <si>
    <t>2024-01-06</t>
  </si>
  <si>
    <t>Merchandise Sale</t>
  </si>
  <si>
    <t>Hamburg Sales – Headgear, Gold Badge, Officer Badge, Regalia, Tree of Life</t>
  </si>
  <si>
    <t>Hamburg</t>
  </si>
  <si>
    <t>2024-02-15</t>
  </si>
  <si>
    <t>Debt Repayment</t>
  </si>
  <si>
    <t>Stuttgart Circuit payment of Jackets</t>
  </si>
  <si>
    <t>Stuttgart</t>
  </si>
  <si>
    <t>Holland Circuit Sales – Regalia 6pcs, Jacket 1pc</t>
  </si>
  <si>
    <t>Holland</t>
  </si>
  <si>
    <t>2024-02-28</t>
  </si>
  <si>
    <t>PAYMENT</t>
  </si>
  <si>
    <t>Merchandise Purchase</t>
  </si>
  <si>
    <t>Handbooks purchased from Ghana – 150 copies</t>
  </si>
  <si>
    <t>Dues Cards purchased from Ghana – 50pcs</t>
  </si>
  <si>
    <t>T-shirts purchased from Ghana – 33pcs</t>
  </si>
  <si>
    <t>2024-03-01</t>
  </si>
  <si>
    <t>Transportation</t>
  </si>
  <si>
    <t>Transportation from Ghana – extra bag cloth &amp; T-shirt</t>
  </si>
  <si>
    <t>Transportation errand from Ghana</t>
  </si>
  <si>
    <t>2024-03-03</t>
  </si>
  <si>
    <t>Airtime</t>
  </si>
  <si>
    <t>Air Time Credit for Zoom large meeting March 2024</t>
  </si>
  <si>
    <t>2024-03-15</t>
  </si>
  <si>
    <t>Air Time Credit – Snr Sis Grace &amp; Presiding Bishop's Wife</t>
  </si>
  <si>
    <t>2024-03-23</t>
  </si>
  <si>
    <t>Postage</t>
  </si>
  <si>
    <t>Postage to countries (Handbooks)</t>
  </si>
  <si>
    <t>2024-03-25</t>
  </si>
  <si>
    <t>Handbook sales – Italy Circuit 23pcs</t>
  </si>
  <si>
    <t>Italy</t>
  </si>
  <si>
    <t>Handbook sales – Belgium 20pcs</t>
  </si>
  <si>
    <t>Belgium</t>
  </si>
  <si>
    <t>Handbook sales – Stuttgart 30pcs</t>
  </si>
  <si>
    <t>Handbook sales – Dusseldorf 20pcs</t>
  </si>
  <si>
    <t>Dusseldorf</t>
  </si>
  <si>
    <t>Handbook sales – Finland 5pcs</t>
  </si>
  <si>
    <t>Finland</t>
  </si>
  <si>
    <t>Handbook sales – Hamburg 31pcs</t>
  </si>
  <si>
    <t>Handbook sales – Holland 20pcs</t>
  </si>
  <si>
    <t>2024-03-30</t>
  </si>
  <si>
    <t>Jacket sale to Holland – 1pc</t>
  </si>
  <si>
    <t>2024-03-31</t>
  </si>
  <si>
    <t>Stationery</t>
  </si>
  <si>
    <t>Stationery – Cellotape 3×2.90</t>
  </si>
  <si>
    <t>Stuttgart Circuit – Payment of old debt</t>
  </si>
  <si>
    <t>2024-04-03</t>
  </si>
  <si>
    <t>Q2 2024</t>
  </si>
  <si>
    <t>Balance C/F from March 2024</t>
  </si>
  <si>
    <t>2024-05-08</t>
  </si>
  <si>
    <t>Circuit Contribution</t>
  </si>
  <si>
    <t>Circuit contributions – Hamburg</t>
  </si>
  <si>
    <t>Circuit contributions – Stuttgart</t>
  </si>
  <si>
    <t>Circuit contributions – Holland</t>
  </si>
  <si>
    <t>Circuit contributions – Italy</t>
  </si>
  <si>
    <t>Circuit contributions – Dusseldorf</t>
  </si>
  <si>
    <t>Circuit contributions – Belgium</t>
  </si>
  <si>
    <t>Sales to Finland – Regalia, Officer Badge, T-shirt, Headgear, Handbook</t>
  </si>
  <si>
    <t>Donation Given</t>
  </si>
  <si>
    <t>Inauguration of Finland Circuit – Donation</t>
  </si>
  <si>
    <t>2024-05-20</t>
  </si>
  <si>
    <t>Sales to Italy Circuit – Tree of Life 3pcs, Regalia 6pcs</t>
  </si>
  <si>
    <t>Payment by Italy (overpayment on merchandise)</t>
  </si>
  <si>
    <t>2024-05-28</t>
  </si>
  <si>
    <t>Event Expense</t>
  </si>
  <si>
    <t>Retreat – Part Payment for Cruise</t>
  </si>
  <si>
    <t>2024-06-21</t>
  </si>
  <si>
    <t>Sales to Stuttgart – Regalia 6pcs</t>
  </si>
  <si>
    <t>2024-06-24</t>
  </si>
  <si>
    <t>Sales to Hamburg – Lacoste T-shirt, Tree of Life, Jackets</t>
  </si>
  <si>
    <t>New Jacket Order – Part payment</t>
  </si>
  <si>
    <t>2024-07-01</t>
  </si>
  <si>
    <t>Q3 2024</t>
  </si>
  <si>
    <t>Balance C/F from 30th June 2024</t>
  </si>
  <si>
    <t>2024-07-15</t>
  </si>
  <si>
    <t>New Jackets purchased – 250pcs full invoice</t>
  </si>
  <si>
    <t>Jacket Transportation from Holland</t>
  </si>
  <si>
    <t>2024-08-24</t>
  </si>
  <si>
    <t>Event Income</t>
  </si>
  <si>
    <t>Proceeds from Retreat (Sept 21–23, 2023)</t>
  </si>
  <si>
    <t>Retreat – Hostel fee</t>
  </si>
  <si>
    <t>Retreat – Cruise fee</t>
  </si>
  <si>
    <t>Retreat – Stationery/Banner</t>
  </si>
  <si>
    <t>Honorarium</t>
  </si>
  <si>
    <t>Retreat – Honorarium</t>
  </si>
  <si>
    <t>Retreat – Chairs and tables hired</t>
  </si>
  <si>
    <t>Retreat – Fuel</t>
  </si>
  <si>
    <t>Retreat – Photos and videos</t>
  </si>
  <si>
    <t>Retreat – Decorations</t>
  </si>
  <si>
    <t>Retreat – Committee levy to support food</t>
  </si>
  <si>
    <t>2024-08-27</t>
  </si>
  <si>
    <t>Late retreat fee payment by Finland</t>
  </si>
  <si>
    <t>2024-08-30</t>
  </si>
  <si>
    <t>Italy Circuit Payment</t>
  </si>
  <si>
    <t>Purchase from Ghana – Headgear, Tree of Life, Officer Badge, T-Shirt</t>
  </si>
  <si>
    <t>Cash Sales – Retreat event</t>
  </si>
  <si>
    <t>2024-09-03</t>
  </si>
  <si>
    <t>Late retreat fee by Hamburg</t>
  </si>
  <si>
    <t>Payment of Jacket by UK</t>
  </si>
  <si>
    <t>UK</t>
  </si>
  <si>
    <t>Payment of Jacket by UK (2nd)</t>
  </si>
  <si>
    <t>2024-09-05</t>
  </si>
  <si>
    <t>Gift</t>
  </si>
  <si>
    <t>Send-Off Connexion Gift</t>
  </si>
  <si>
    <t>2024-10-20</t>
  </si>
  <si>
    <t>Q4 2024</t>
  </si>
  <si>
    <t>Late payment of retreat fee by Belgium</t>
  </si>
  <si>
    <t>Payment of new Jacket by Belgium</t>
  </si>
  <si>
    <t>Belgium sales – Regalia 6pcs, Officer Badge 5pcs, Jacket 20pcs</t>
  </si>
  <si>
    <t>Retreat Centre Cape Coast levy – Finland</t>
  </si>
  <si>
    <t>Retreat Centre Cape Coast levy – Hamburg</t>
  </si>
  <si>
    <t>Retreat Centre Cape Coast levy – Italy</t>
  </si>
  <si>
    <t>Retreat Centre Cape Coast levy – Modena (Italy)</t>
  </si>
  <si>
    <t>Italy (Modena)</t>
  </si>
  <si>
    <t>Retreat Centre Cape Coast levy – Belgium</t>
  </si>
  <si>
    <t>Retreat Centre Cape Coast levy – Stuttgart</t>
  </si>
  <si>
    <t>Retreat Centre Cape Coast levy – Dusseldorf</t>
  </si>
  <si>
    <t>Retreat Centre Cape Coast levy – Holland</t>
  </si>
  <si>
    <t>2024-11-09</t>
  </si>
  <si>
    <t>Payment to Ghana for the Retreat Centre</t>
  </si>
  <si>
    <t>2024-11-15</t>
  </si>
  <si>
    <t>Other</t>
  </si>
  <si>
    <t>Miscellaneous – Connexion program</t>
  </si>
  <si>
    <t>2024-11-20</t>
  </si>
  <si>
    <t>Air time</t>
  </si>
  <si>
    <t>2024-12-01</t>
  </si>
  <si>
    <t>Support Belgium inauguration – Holland</t>
  </si>
  <si>
    <t>Support Belgium inauguration – Hamburg</t>
  </si>
  <si>
    <t>Support Belgium inauguration – Finland</t>
  </si>
  <si>
    <t>Support Belgium inauguration – Dusseldorf</t>
  </si>
  <si>
    <t>Support Belgium inauguration – Italy</t>
  </si>
  <si>
    <t>Support Belgium inauguration – Modena</t>
  </si>
  <si>
    <t>Support Belgium inauguration – Stuttgart</t>
  </si>
  <si>
    <t>2024-12-10</t>
  </si>
  <si>
    <t>Donation to Belgium (inauguration support)</t>
  </si>
  <si>
    <t>2024-12-14</t>
  </si>
  <si>
    <t>Honorarium – Bro. Mensou and others</t>
  </si>
  <si>
    <t>Handbooks purchased from Ghana – 200pcs</t>
  </si>
  <si>
    <t>2024-12-22</t>
  </si>
  <si>
    <t>Hamburg (Hannover) – Tree of Life 2pcs</t>
  </si>
  <si>
    <t>2025-01-08</t>
  </si>
  <si>
    <t>Q1 2025</t>
  </si>
  <si>
    <t>Italy Circuit – Payment of items bought</t>
  </si>
  <si>
    <t>2025-01-18</t>
  </si>
  <si>
    <t>Cash deposit to bank</t>
  </si>
  <si>
    <t>2025-02-03</t>
  </si>
  <si>
    <t>2025-03-03</t>
  </si>
  <si>
    <t>Cash Deposit to Bank</t>
  </si>
  <si>
    <t>T&amp;T to Italy – Package postage</t>
  </si>
  <si>
    <t>2025-03-11</t>
  </si>
  <si>
    <t>Payment by Belgium Circuit</t>
  </si>
  <si>
    <t>2025-04-11</t>
  </si>
  <si>
    <t>Q2 2025</t>
  </si>
  <si>
    <t>Payment by Finland Circuit</t>
  </si>
  <si>
    <t>2025-04-17</t>
  </si>
  <si>
    <t>Payment by Belgium</t>
  </si>
  <si>
    <t>2025-04-23</t>
  </si>
  <si>
    <t>Payment of Europe Cloth</t>
  </si>
  <si>
    <t>2025-05-24</t>
  </si>
  <si>
    <t>Payment by Italy Circuit</t>
  </si>
  <si>
    <t>Dusseldorf Circuit Payment</t>
  </si>
  <si>
    <t>2025-06-15</t>
  </si>
  <si>
    <t>Gift for Presiding</t>
  </si>
  <si>
    <t>2025-06-24</t>
  </si>
  <si>
    <t>Holland Circuit Payment</t>
  </si>
  <si>
    <t>2025-07-25</t>
  </si>
  <si>
    <t>Q3 2025</t>
  </si>
  <si>
    <t>2025-07-31</t>
  </si>
  <si>
    <t>Belgium Circuit Payment</t>
  </si>
  <si>
    <t>2025-08-01</t>
  </si>
  <si>
    <t>Henry Retail Centre – Cash Sales</t>
  </si>
  <si>
    <t>2025-08-13</t>
  </si>
  <si>
    <t>Conference extra contribution</t>
  </si>
  <si>
    <t>2025-08-15</t>
  </si>
  <si>
    <t>2025-08-16</t>
  </si>
  <si>
    <t>Holland Circuit Payment (2nd)</t>
  </si>
  <si>
    <t>2025-09-20</t>
  </si>
  <si>
    <t>Europe Mission Cloth</t>
  </si>
  <si>
    <t>Retreale Cape Coast</t>
  </si>
  <si>
    <t>2025-09-21</t>
  </si>
  <si>
    <t>Final Payment from UK – Jacket</t>
  </si>
  <si>
    <t>2025-09-25</t>
  </si>
  <si>
    <t>Berlin seebranch – Jackets 11pcs &amp; others</t>
  </si>
  <si>
    <t>2025-09-30</t>
  </si>
  <si>
    <t>Gift for Belgium Rev. Gymah</t>
  </si>
  <si>
    <t>2025-10-04</t>
  </si>
  <si>
    <t>Q4 2025</t>
  </si>
  <si>
    <t>Holland T&amp;T Package postage</t>
  </si>
  <si>
    <t>2025-10-13</t>
  </si>
  <si>
    <t>Payment to Bank</t>
  </si>
  <si>
    <t>2025-10-14</t>
  </si>
  <si>
    <t>2025-10-15</t>
  </si>
  <si>
    <t>Payment by Holland Circuit</t>
  </si>
  <si>
    <t>Payment by Holland Circuit (2nd)</t>
  </si>
  <si>
    <t>2025-10-16</t>
  </si>
  <si>
    <t>Tree of Life 16pcs + T-shirt 40pcs</t>
  </si>
  <si>
    <t>2025-10-23</t>
  </si>
  <si>
    <t>Finland Circuit Payment</t>
  </si>
  <si>
    <t>2025-10-24</t>
  </si>
  <si>
    <t>Finland Circuit Payment (2nd)</t>
  </si>
  <si>
    <t>2025-10-25</t>
  </si>
  <si>
    <t>Stuttgart Circuit Payment</t>
  </si>
  <si>
    <t>2025-10-27</t>
  </si>
  <si>
    <t>Belgium Circuit Payment (3rd)</t>
  </si>
  <si>
    <t>2025-11-23</t>
  </si>
  <si>
    <t>Belgium Circuit Payout</t>
  </si>
  <si>
    <t>2025-11-25</t>
  </si>
  <si>
    <t>Handbooks purchase from Ghana</t>
  </si>
  <si>
    <t>2025-12-06</t>
  </si>
  <si>
    <t>Officers Badges purchase</t>
  </si>
  <si>
    <t>2025-12-08</t>
  </si>
  <si>
    <t>Extra Bag from Ghana – transportation</t>
  </si>
  <si>
    <t>2025-12-12</t>
  </si>
  <si>
    <t>Lacoste T-Shirt 9pcs, Enrolment Badge 100pcs, Headgear 15pcs, Enrolment Service BK</t>
  </si>
  <si>
    <t>2025-12-21</t>
  </si>
  <si>
    <t>Scarf 50pcs, Cap Headgear, Enrollment Badges</t>
  </si>
  <si>
    <t>2025-12-30</t>
  </si>
  <si>
    <t>GRAND TOTALS</t>
  </si>
  <si>
    <t>NET BALANCE (Receipts − Payments)</t>
  </si>
  <si>
    <t>QUARTERLY FINANCIAL SUMMARY — 2024 to 2025</t>
  </si>
  <si>
    <t>Total Receipts (€)</t>
  </si>
  <si>
    <t>Total Payments (€)</t>
  </si>
  <si>
    <t>Net Balance (€)</t>
  </si>
  <si>
    <t>Receipt Count</t>
  </si>
  <si>
    <t>Payment Count</t>
  </si>
  <si>
    <t>Total Transactions</t>
  </si>
  <si>
    <t>TOTAL</t>
  </si>
  <si>
    <t>CIRCUIT FINANCIAL BREAKDOWN — 2024 to 2025</t>
  </si>
  <si>
    <t>Net Contribution (€)</t>
  </si>
  <si>
    <t>Merchandise Sales (€)</t>
  </si>
  <si>
    <t>Debt Repaid (€)</t>
  </si>
  <si>
    <t>Transaction Count</t>
  </si>
  <si>
    <t>INCOME &amp; EXPENDITURE BY CATEGORY — 2024 to 2025</t>
  </si>
  <si>
    <t>RECEIPTS BY CATEGORY</t>
  </si>
  <si>
    <t>Total Amount (€)</t>
  </si>
  <si>
    <t>Count</t>
  </si>
  <si>
    <t>% of Total Receipts</t>
  </si>
  <si>
    <t>Avg per Transaction (€)</t>
  </si>
  <si>
    <t>PAYMENTS BY CATEGORY</t>
  </si>
  <si>
    <t>% of Total Payments</t>
  </si>
  <si>
    <t>STOCK MOVEMENTS REGISTER — 2024 to 2025</t>
  </si>
  <si>
    <t>Product</t>
  </si>
  <si>
    <t>Qty</t>
  </si>
  <si>
    <t>Unit Price (€)</t>
  </si>
  <si>
    <t>Total Value (€)</t>
  </si>
  <si>
    <t>Headgear</t>
  </si>
  <si>
    <t>SALE</t>
  </si>
  <si>
    <t>Gold Badge</t>
  </si>
  <si>
    <t>Officer's Badge</t>
  </si>
  <si>
    <t>Regalia</t>
  </si>
  <si>
    <t>Tree of Life</t>
  </si>
  <si>
    <t>Jacket</t>
  </si>
  <si>
    <t>Handbook</t>
  </si>
  <si>
    <t>PURCHASE</t>
  </si>
  <si>
    <t>Dues Card</t>
  </si>
  <si>
    <t>Lacoste T-Shirt</t>
  </si>
  <si>
    <t>Enrolment Badge</t>
  </si>
  <si>
    <t>Europe Cloth</t>
  </si>
  <si>
    <t>Enrolment Service Book</t>
  </si>
  <si>
    <t>Scarf</t>
  </si>
  <si>
    <t>PRODUCT STOCK SUMMARY</t>
  </si>
  <si>
    <t>Total Purchased</t>
  </si>
  <si>
    <t>Total Sold</t>
  </si>
  <si>
    <t>Net Stock Change</t>
  </si>
  <si>
    <t>Purchase Value (€)</t>
  </si>
  <si>
    <t>Sales Value (€)</t>
  </si>
  <si>
    <t>CIRCUITS OWING EUROPE MISSION — 2024/25</t>
  </si>
  <si>
    <t>Amount Owing (€)</t>
  </si>
  <si>
    <t>Status</t>
  </si>
  <si>
    <t>Notes</t>
  </si>
  <si>
    <t>OWING</t>
  </si>
  <si>
    <t>Hamburg Circuit owes €532.00 to Europe Mission</t>
  </si>
  <si>
    <t>Italy Circuit owes €1,624.00 to Europe Mission</t>
  </si>
  <si>
    <t>Holland Circuit owes €1,000.00 to Europe Mission</t>
  </si>
  <si>
    <t>Stuttgart Circuit owes €800.00 to Europe Mission</t>
  </si>
  <si>
    <t>CLEAR</t>
  </si>
  <si>
    <t>No outstanding debt</t>
  </si>
  <si>
    <t>Modena</t>
  </si>
  <si>
    <t>Dusseldorf Circuit owes €645.00 to Europe Mission</t>
  </si>
  <si>
    <t>TOTAL OUTSTANDING</t>
  </si>
  <si>
    <t>DEBT DISTRIBUTION</t>
  </si>
  <si>
    <t>% of Total Debt</t>
  </si>
  <si>
    <t>YEAR-ON-YEAR FINANCIAL COMPARISON</t>
  </si>
  <si>
    <t>Year</t>
  </si>
  <si>
    <t>YEAR-ON-YEAR CHANGE</t>
  </si>
  <si>
    <t>Metric</t>
  </si>
  <si>
    <t>2024 (€)</t>
  </si>
  <si>
    <t>2025 (€)</t>
  </si>
  <si>
    <t>Change (€)</t>
  </si>
  <si>
    <t>Change (%)</t>
  </si>
  <si>
    <t>Receipts</t>
  </si>
  <si>
    <t>Payments</t>
  </si>
  <si>
    <t>Net Balance</t>
  </si>
  <si>
    <t>RECEIPTS LEDGER — 2024 to 2025</t>
  </si>
  <si>
    <t>Particulars</t>
  </si>
  <si>
    <t>Amount (€)</t>
  </si>
  <si>
    <t>Running Total (€)</t>
  </si>
  <si>
    <t>TOTAL RECEIPTS</t>
  </si>
  <si>
    <t>PAYMENTS LEDGER — 2024 to 2025</t>
  </si>
  <si>
    <t>TOTAL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</si>
</sst>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€#,##0.00"/>
    <numFmt numFmtId="165" formatCode="0.0&quot;%&quot;"/>
  </numFmts>
  <fonts count="15" x14ac:knownFonts="1">
    <font>
      <color theme="1"/>
      <family val="2"/>
      <scheme val="minor"/>
      <sz val="11"/>
      <name val="Calibri"/>
    </font>
    <font>
      <b/>
      <color rgb="1B2A4A"/>
      <sz val="16"/>
      <name val="Calibri"/>
    </font>
    <font>
      <i/>
      <color rgb="95A5A6"/>
      <sz val="10"/>
      <name val="Calibri"/>
    </font>
    <font>
      <b/>
      <color rgb="FFFFFF"/>
      <sz val="11"/>
      <name val="Calibri"/>
    </font>
    <font>
      <color rgb="2C3E50"/>
      <sz val="10"/>
      <name val="Calibri"/>
    </font>
    <font>
      <b/>
      <color rgb="27AE60"/>
      <sz val="10"/>
      <name val="Calibri"/>
    </font>
    <font>
      <b/>
      <color rgb="E74C3C"/>
      <sz val="10"/>
      <name val="Calibri"/>
    </font>
    <font>
      <b/>
      <color rgb="1B2A4A"/>
      <sz val="11"/>
      <name val="Calibri"/>
    </font>
    <font>
      <b/>
      <color rgb="C5A572"/>
      <sz val="11"/>
      <name val="Calibri"/>
    </font>
    <font>
      <b/>
      <color rgb="27AE60"/>
      <sz val="13"/>
      <name val="Calibri"/>
    </font>
    <font>
      <b/>
      <color rgb="E74C3C"/>
      <sz val="13"/>
      <name val="Calibri"/>
    </font>
    <font>
      <b/>
      <color rgb="2980B9"/>
      <sz val="10"/>
      <name val="Calibri"/>
    </font>
    <font>
      <b/>
      <color rgb="8E44AD"/>
      <sz val="13"/>
      <name val="Calibri"/>
    </font>
    <font>
      <b/>
      <color rgb="E74C3C"/>
      <sz val="12"/>
      <name val="Calibri"/>
    </font>
    <font>
      <b/>
      <color rgb="2C3E50"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5EBD7"/>
      </patternFill>
    </fill>
    <fill>
      <patternFill patternType="solid">
        <fgColor rgb="1B2A4A"/>
      </patternFill>
    </fill>
    <fill>
      <patternFill patternType="solid">
        <fgColor rgb="FFFFFF"/>
      </patternFill>
    </fill>
    <fill>
      <patternFill patternType="solid">
        <fgColor rgb="F5F0E8"/>
      </patternFill>
    </fill>
    <fill>
      <patternFill patternType="solid">
        <fgColor rgb="C5A572"/>
      </patternFill>
    </fill>
    <fill>
      <patternFill patternType="solid">
        <fgColor rgb="2980B9"/>
      </patternFill>
    </fill>
    <fill>
      <patternFill patternType="solid">
        <fgColor rgb="E8F5E9"/>
      </patternFill>
    </fill>
    <fill>
      <patternFill patternType="solid">
        <fgColor rgb="27AE60"/>
      </patternFill>
    </fill>
    <fill>
      <patternFill patternType="solid">
        <fgColor rgb="FDEDEC"/>
      </patternFill>
    </fill>
    <fill>
      <patternFill patternType="solid">
        <fgColor rgb="E74C3C"/>
      </patternFill>
    </fill>
    <fill>
      <patternFill patternType="solid">
        <fgColor rgb="8E44AD"/>
      </patternFill>
    </fill>
    <fill>
      <patternFill patternType="solid">
        <fgColor rgb="2C3E50"/>
      </patternFill>
    </fill>
  </fills>
  <borders count="5">
    <border>
      <left/>
      <right/>
      <top/>
      <bottom/>
      <diagonal/>
    </border>
    <border>
      <left/>
      <right/>
      <top/>
      <bottom style="medium">
        <color rgb="C5A572"/>
      </bottom>
      <diagonal/>
    </border>
    <border>
      <left style="thin">
        <color rgb="C5A572"/>
      </left>
      <right style="thin">
        <color rgb="C5A572"/>
      </right>
      <top style="thin">
        <color rgb="C5A572"/>
      </top>
      <bottom style="thin">
        <color rgb="C5A572"/>
      </bottom>
      <diagonal/>
    </border>
    <border>
      <left style="hair">
        <color rgb="95A5A6"/>
      </left>
      <right style="hair">
        <color rgb="95A5A6"/>
      </right>
      <top style="hair">
        <color rgb="95A5A6"/>
      </top>
      <bottom style="hair">
        <color rgb="95A5A6"/>
      </bottom>
      <diagonal/>
    </border>
    <border>
      <left style="thin">
        <color rgb="1B2A4A"/>
      </left>
      <right style="thin">
        <color rgb="1B2A4A"/>
      </right>
      <top style="medium">
        <color rgb="1B2A4A"/>
      </top>
      <bottom style="medium">
        <color rgb="1B2A4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164" fontId="4" fillId="4" borderId="3" xfId="0" applyNumberFormat="1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164" fontId="4" fillId="5" borderId="3" xfId="0" applyNumberFormat="1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vertical="center" wrapText="1"/>
    </xf>
    <xf numFmtId="164" fontId="5" fillId="5" borderId="3" xfId="0" applyNumberFormat="1" applyFont="1" applyFill="1" applyBorder="1" applyAlignment="1">
      <alignment vertical="center" wrapText="1"/>
    </xf>
    <xf numFmtId="164" fontId="6" fillId="4" borderId="3" xfId="0" applyNumberFormat="1" applyFont="1" applyFill="1" applyBorder="1" applyAlignment="1">
      <alignment vertical="center" wrapText="1"/>
    </xf>
    <xf numFmtId="164" fontId="6" fillId="5" borderId="3" xfId="0" applyNumberFormat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0" fontId="9" fillId="8" borderId="0" xfId="0" applyFont="1" applyFill="1"/>
    <xf numFmtId="0" fontId="3" fillId="9" borderId="2" xfId="0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vertical="center" wrapText="1"/>
    </xf>
    <xf numFmtId="165" fontId="4" fillId="5" borderId="3" xfId="0" applyNumberFormat="1" applyFont="1" applyFill="1" applyBorder="1" applyAlignment="1">
      <alignment vertical="center" wrapText="1"/>
    </xf>
    <xf numFmtId="0" fontId="10" fillId="10" borderId="0" xfId="0" applyFont="1" applyFill="1"/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2" fillId="0" borderId="0" xfId="0" applyFont="1"/>
    <xf numFmtId="0" fontId="3" fillId="11" borderId="4" xfId="0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>
      <alignment horizontal="center" vertical="center"/>
    </xf>
    <xf numFmtId="0" fontId="13" fillId="0" borderId="0" xfId="0" applyFont="1"/>
    <xf numFmtId="0" fontId="3" fillId="13" borderId="2" xfId="0" applyFont="1" applyFill="1" applyBorder="1" applyAlignment="1">
      <alignment horizontal="center" vertical="center" wrapText="1"/>
    </xf>
    <xf numFmtId="0" fontId="14" fillId="0" borderId="0" xfId="0" applyFont="1"/>
    <xf numFmtId="0" fontId="3" fillId="9" borderId="4" xfId="0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2A4A"/>
  </sheetPr>
  <dimension ref="A1:I1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10" customWidth="1"/>
    <col min="4" max="4" width="11" customWidth="1"/>
    <col min="5" max="5" width="22" customWidth="1"/>
    <col min="6" max="6" width="50" customWidth="1"/>
    <col min="7" max="8" width="15" customWidth="1"/>
    <col min="9" max="9" width="16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0</v>
      </c>
    </row>
    <row r="5" spans="1:9" x14ac:dyDescent="0.25">
      <c r="A5" s="4">
        <v>1</v>
      </c>
      <c r="B5" s="4" t="s">
        <v>10</v>
      </c>
      <c r="C5" s="4" t="s">
        <v>11</v>
      </c>
      <c r="D5" s="5" t="s">
        <v>12</v>
      </c>
      <c r="E5" s="4" t="s">
        <v>13</v>
      </c>
      <c r="F5" s="4" t="s">
        <v>14</v>
      </c>
      <c r="G5" s="6">
        <v>7494.75</v>
      </c>
      <c r="H5" s="4" t="s">
        <v>15</v>
      </c>
      <c r="I5" s="4" t="s">
        <v>16</v>
      </c>
    </row>
    <row r="6" spans="1:9" x14ac:dyDescent="0.25">
      <c r="A6" s="7">
        <v>2</v>
      </c>
      <c r="B6" s="7" t="s">
        <v>17</v>
      </c>
      <c r="C6" s="7" t="s">
        <v>11</v>
      </c>
      <c r="D6" s="8" t="s">
        <v>12</v>
      </c>
      <c r="E6" s="7" t="s">
        <v>18</v>
      </c>
      <c r="F6" s="7" t="s">
        <v>19</v>
      </c>
      <c r="G6" s="9">
        <v>203</v>
      </c>
      <c r="H6" s="7" t="s">
        <v>15</v>
      </c>
      <c r="I6" s="7" t="s">
        <v>20</v>
      </c>
    </row>
    <row r="7" spans="1:9" x14ac:dyDescent="0.25">
      <c r="A7" s="4">
        <v>3</v>
      </c>
      <c r="B7" s="4" t="s">
        <v>21</v>
      </c>
      <c r="C7" s="4" t="s">
        <v>11</v>
      </c>
      <c r="D7" s="5" t="s">
        <v>12</v>
      </c>
      <c r="E7" s="4" t="s">
        <v>22</v>
      </c>
      <c r="F7" s="4" t="s">
        <v>23</v>
      </c>
      <c r="G7" s="6">
        <v>500</v>
      </c>
      <c r="H7" s="4" t="s">
        <v>15</v>
      </c>
      <c r="I7" s="4" t="s">
        <v>24</v>
      </c>
    </row>
    <row r="8" spans="1:9" x14ac:dyDescent="0.25">
      <c r="A8" s="7">
        <v>4</v>
      </c>
      <c r="B8" s="7" t="s">
        <v>21</v>
      </c>
      <c r="C8" s="7" t="s">
        <v>11</v>
      </c>
      <c r="D8" s="8" t="s">
        <v>12</v>
      </c>
      <c r="E8" s="7" t="s">
        <v>18</v>
      </c>
      <c r="F8" s="7" t="s">
        <v>25</v>
      </c>
      <c r="G8" s="9">
        <v>81</v>
      </c>
      <c r="H8" s="7" t="s">
        <v>15</v>
      </c>
      <c r="I8" s="7" t="s">
        <v>26</v>
      </c>
    </row>
    <row r="9" spans="1:9" x14ac:dyDescent="0.25">
      <c r="A9" s="4">
        <v>5</v>
      </c>
      <c r="B9" s="4" t="s">
        <v>27</v>
      </c>
      <c r="C9" s="4" t="s">
        <v>11</v>
      </c>
      <c r="D9" s="10" t="s">
        <v>28</v>
      </c>
      <c r="E9" s="4" t="s">
        <v>29</v>
      </c>
      <c r="F9" s="4" t="s">
        <v>30</v>
      </c>
      <c r="G9" s="4" t="s">
        <v>15</v>
      </c>
      <c r="H9" s="6">
        <v>229</v>
      </c>
      <c r="I9" s="4" t="s">
        <v>16</v>
      </c>
    </row>
    <row r="10" spans="1:9" x14ac:dyDescent="0.25">
      <c r="A10" s="7">
        <v>6</v>
      </c>
      <c r="B10" s="7" t="s">
        <v>27</v>
      </c>
      <c r="C10" s="7" t="s">
        <v>11</v>
      </c>
      <c r="D10" s="11" t="s">
        <v>28</v>
      </c>
      <c r="E10" s="7" t="s">
        <v>29</v>
      </c>
      <c r="F10" s="7" t="s">
        <v>31</v>
      </c>
      <c r="G10" s="7" t="s">
        <v>15</v>
      </c>
      <c r="H10" s="9">
        <v>250</v>
      </c>
      <c r="I10" s="7" t="s">
        <v>16</v>
      </c>
    </row>
    <row r="11" spans="1:9" x14ac:dyDescent="0.25">
      <c r="A11" s="4">
        <v>7</v>
      </c>
      <c r="B11" s="4" t="s">
        <v>27</v>
      </c>
      <c r="C11" s="4" t="s">
        <v>11</v>
      </c>
      <c r="D11" s="10" t="s">
        <v>28</v>
      </c>
      <c r="E11" s="4" t="s">
        <v>29</v>
      </c>
      <c r="F11" s="4" t="s">
        <v>32</v>
      </c>
      <c r="G11" s="4" t="s">
        <v>15</v>
      </c>
      <c r="H11" s="6">
        <v>240</v>
      </c>
      <c r="I11" s="4" t="s">
        <v>16</v>
      </c>
    </row>
    <row r="12" spans="1:9" x14ac:dyDescent="0.25">
      <c r="A12" s="7">
        <v>8</v>
      </c>
      <c r="B12" s="7" t="s">
        <v>33</v>
      </c>
      <c r="C12" s="7" t="s">
        <v>11</v>
      </c>
      <c r="D12" s="11" t="s">
        <v>28</v>
      </c>
      <c r="E12" s="7" t="s">
        <v>34</v>
      </c>
      <c r="F12" s="7" t="s">
        <v>35</v>
      </c>
      <c r="G12" s="7" t="s">
        <v>15</v>
      </c>
      <c r="H12" s="9">
        <v>170</v>
      </c>
      <c r="I12" s="7" t="s">
        <v>16</v>
      </c>
    </row>
    <row r="13" spans="1:9" x14ac:dyDescent="0.25">
      <c r="A13" s="4">
        <v>9</v>
      </c>
      <c r="B13" s="4" t="s">
        <v>33</v>
      </c>
      <c r="C13" s="4" t="s">
        <v>11</v>
      </c>
      <c r="D13" s="10" t="s">
        <v>28</v>
      </c>
      <c r="E13" s="4" t="s">
        <v>34</v>
      </c>
      <c r="F13" s="4" t="s">
        <v>36</v>
      </c>
      <c r="G13" s="4" t="s">
        <v>15</v>
      </c>
      <c r="H13" s="6">
        <v>130</v>
      </c>
      <c r="I13" s="4" t="s">
        <v>16</v>
      </c>
    </row>
    <row r="14" spans="1:9" x14ac:dyDescent="0.25">
      <c r="A14" s="7">
        <v>10</v>
      </c>
      <c r="B14" s="7" t="s">
        <v>37</v>
      </c>
      <c r="C14" s="7" t="s">
        <v>11</v>
      </c>
      <c r="D14" s="11" t="s">
        <v>28</v>
      </c>
      <c r="E14" s="7" t="s">
        <v>38</v>
      </c>
      <c r="F14" s="7" t="s">
        <v>39</v>
      </c>
      <c r="G14" s="7" t="s">
        <v>15</v>
      </c>
      <c r="H14" s="9">
        <v>56.73</v>
      </c>
      <c r="I14" s="7" t="s">
        <v>16</v>
      </c>
    </row>
    <row r="15" spans="1:9" x14ac:dyDescent="0.25">
      <c r="A15" s="4">
        <v>11</v>
      </c>
      <c r="B15" s="4" t="s">
        <v>40</v>
      </c>
      <c r="C15" s="4" t="s">
        <v>11</v>
      </c>
      <c r="D15" s="10" t="s">
        <v>28</v>
      </c>
      <c r="E15" s="4" t="s">
        <v>38</v>
      </c>
      <c r="F15" s="4" t="s">
        <v>41</v>
      </c>
      <c r="G15" s="4" t="s">
        <v>15</v>
      </c>
      <c r="H15" s="6">
        <v>100</v>
      </c>
      <c r="I15" s="4" t="s">
        <v>16</v>
      </c>
    </row>
    <row r="16" spans="1:9" x14ac:dyDescent="0.25">
      <c r="A16" s="7">
        <v>12</v>
      </c>
      <c r="B16" s="7" t="s">
        <v>42</v>
      </c>
      <c r="C16" s="7" t="s">
        <v>11</v>
      </c>
      <c r="D16" s="11" t="s">
        <v>28</v>
      </c>
      <c r="E16" s="7" t="s">
        <v>43</v>
      </c>
      <c r="F16" s="7" t="s">
        <v>44</v>
      </c>
      <c r="G16" s="7" t="s">
        <v>15</v>
      </c>
      <c r="H16" s="9">
        <v>108.84</v>
      </c>
      <c r="I16" s="7" t="s">
        <v>16</v>
      </c>
    </row>
    <row r="17" spans="1:9" x14ac:dyDescent="0.25">
      <c r="A17" s="4">
        <v>13</v>
      </c>
      <c r="B17" s="4" t="s">
        <v>45</v>
      </c>
      <c r="C17" s="4" t="s">
        <v>11</v>
      </c>
      <c r="D17" s="5" t="s">
        <v>12</v>
      </c>
      <c r="E17" s="4" t="s">
        <v>18</v>
      </c>
      <c r="F17" s="4" t="s">
        <v>46</v>
      </c>
      <c r="G17" s="6">
        <v>92</v>
      </c>
      <c r="H17" s="4" t="s">
        <v>15</v>
      </c>
      <c r="I17" s="4" t="s">
        <v>47</v>
      </c>
    </row>
    <row r="18" spans="1:9" x14ac:dyDescent="0.25">
      <c r="A18" s="7">
        <v>14</v>
      </c>
      <c r="B18" s="7" t="s">
        <v>45</v>
      </c>
      <c r="C18" s="7" t="s">
        <v>11</v>
      </c>
      <c r="D18" s="8" t="s">
        <v>12</v>
      </c>
      <c r="E18" s="7" t="s">
        <v>18</v>
      </c>
      <c r="F18" s="7" t="s">
        <v>48</v>
      </c>
      <c r="G18" s="9">
        <v>80</v>
      </c>
      <c r="H18" s="7" t="s">
        <v>15</v>
      </c>
      <c r="I18" s="7" t="s">
        <v>49</v>
      </c>
    </row>
    <row r="19" spans="1:9" x14ac:dyDescent="0.25">
      <c r="A19" s="4">
        <v>15</v>
      </c>
      <c r="B19" s="4" t="s">
        <v>45</v>
      </c>
      <c r="C19" s="4" t="s">
        <v>11</v>
      </c>
      <c r="D19" s="5" t="s">
        <v>12</v>
      </c>
      <c r="E19" s="4" t="s">
        <v>18</v>
      </c>
      <c r="F19" s="4" t="s">
        <v>50</v>
      </c>
      <c r="G19" s="6">
        <v>105</v>
      </c>
      <c r="H19" s="4" t="s">
        <v>15</v>
      </c>
      <c r="I19" s="4" t="s">
        <v>24</v>
      </c>
    </row>
    <row r="20" spans="1:9" x14ac:dyDescent="0.25">
      <c r="A20" s="7">
        <v>16</v>
      </c>
      <c r="B20" s="7" t="s">
        <v>45</v>
      </c>
      <c r="C20" s="7" t="s">
        <v>11</v>
      </c>
      <c r="D20" s="8" t="s">
        <v>12</v>
      </c>
      <c r="E20" s="7" t="s">
        <v>18</v>
      </c>
      <c r="F20" s="7" t="s">
        <v>51</v>
      </c>
      <c r="G20" s="9">
        <v>80</v>
      </c>
      <c r="H20" s="7" t="s">
        <v>15</v>
      </c>
      <c r="I20" s="7" t="s">
        <v>52</v>
      </c>
    </row>
    <row r="21" spans="1:9" x14ac:dyDescent="0.25">
      <c r="A21" s="4">
        <v>17</v>
      </c>
      <c r="B21" s="4" t="s">
        <v>45</v>
      </c>
      <c r="C21" s="4" t="s">
        <v>11</v>
      </c>
      <c r="D21" s="5" t="s">
        <v>12</v>
      </c>
      <c r="E21" s="4" t="s">
        <v>18</v>
      </c>
      <c r="F21" s="4" t="s">
        <v>53</v>
      </c>
      <c r="G21" s="6">
        <v>20</v>
      </c>
      <c r="H21" s="4" t="s">
        <v>15</v>
      </c>
      <c r="I21" s="4" t="s">
        <v>54</v>
      </c>
    </row>
    <row r="22" spans="1:9" x14ac:dyDescent="0.25">
      <c r="A22" s="7">
        <v>18</v>
      </c>
      <c r="B22" s="7" t="s">
        <v>45</v>
      </c>
      <c r="C22" s="7" t="s">
        <v>11</v>
      </c>
      <c r="D22" s="8" t="s">
        <v>12</v>
      </c>
      <c r="E22" s="7" t="s">
        <v>18</v>
      </c>
      <c r="F22" s="7" t="s">
        <v>55</v>
      </c>
      <c r="G22" s="9">
        <v>124</v>
      </c>
      <c r="H22" s="7" t="s">
        <v>15</v>
      </c>
      <c r="I22" s="7" t="s">
        <v>20</v>
      </c>
    </row>
    <row r="23" spans="1:9" x14ac:dyDescent="0.25">
      <c r="A23" s="4">
        <v>19</v>
      </c>
      <c r="B23" s="4" t="s">
        <v>45</v>
      </c>
      <c r="C23" s="4" t="s">
        <v>11</v>
      </c>
      <c r="D23" s="5" t="s">
        <v>12</v>
      </c>
      <c r="E23" s="4" t="s">
        <v>18</v>
      </c>
      <c r="F23" s="4" t="s">
        <v>56</v>
      </c>
      <c r="G23" s="6">
        <v>80</v>
      </c>
      <c r="H23" s="4" t="s">
        <v>15</v>
      </c>
      <c r="I23" s="4" t="s">
        <v>26</v>
      </c>
    </row>
    <row r="24" spans="1:9" x14ac:dyDescent="0.25">
      <c r="A24" s="7">
        <v>20</v>
      </c>
      <c r="B24" s="7" t="s">
        <v>57</v>
      </c>
      <c r="C24" s="7" t="s">
        <v>11</v>
      </c>
      <c r="D24" s="8" t="s">
        <v>12</v>
      </c>
      <c r="E24" s="7" t="s">
        <v>18</v>
      </c>
      <c r="F24" s="7" t="s">
        <v>58</v>
      </c>
      <c r="G24" s="9">
        <v>35</v>
      </c>
      <c r="H24" s="7" t="s">
        <v>15</v>
      </c>
      <c r="I24" s="7" t="s">
        <v>26</v>
      </c>
    </row>
    <row r="25" spans="1:9" x14ac:dyDescent="0.25">
      <c r="A25" s="4">
        <v>21</v>
      </c>
      <c r="B25" s="4" t="s">
        <v>59</v>
      </c>
      <c r="C25" s="4" t="s">
        <v>11</v>
      </c>
      <c r="D25" s="10" t="s">
        <v>28</v>
      </c>
      <c r="E25" s="4" t="s">
        <v>60</v>
      </c>
      <c r="F25" s="4" t="s">
        <v>61</v>
      </c>
      <c r="G25" s="4" t="s">
        <v>15</v>
      </c>
      <c r="H25" s="6">
        <v>8.7</v>
      </c>
      <c r="I25" s="4" t="s">
        <v>16</v>
      </c>
    </row>
    <row r="26" spans="1:9" x14ac:dyDescent="0.25">
      <c r="A26" s="7">
        <v>22</v>
      </c>
      <c r="B26" s="7" t="s">
        <v>59</v>
      </c>
      <c r="C26" s="7" t="s">
        <v>11</v>
      </c>
      <c r="D26" s="8" t="s">
        <v>12</v>
      </c>
      <c r="E26" s="7" t="s">
        <v>22</v>
      </c>
      <c r="F26" s="7" t="s">
        <v>62</v>
      </c>
      <c r="G26" s="9">
        <v>300</v>
      </c>
      <c r="H26" s="7" t="s">
        <v>15</v>
      </c>
      <c r="I26" s="7" t="s">
        <v>24</v>
      </c>
    </row>
    <row r="27" spans="1:9" x14ac:dyDescent="0.25">
      <c r="A27" s="4">
        <v>23</v>
      </c>
      <c r="B27" s="4" t="s">
        <v>63</v>
      </c>
      <c r="C27" s="4" t="s">
        <v>64</v>
      </c>
      <c r="D27" s="5" t="s">
        <v>12</v>
      </c>
      <c r="E27" s="4" t="s">
        <v>13</v>
      </c>
      <c r="F27" s="4" t="s">
        <v>65</v>
      </c>
      <c r="G27" s="6">
        <v>8052.32</v>
      </c>
      <c r="H27" s="4" t="s">
        <v>15</v>
      </c>
      <c r="I27" s="4" t="s">
        <v>16</v>
      </c>
    </row>
    <row r="28" spans="1:9" x14ac:dyDescent="0.25">
      <c r="A28" s="7">
        <v>24</v>
      </c>
      <c r="B28" s="7" t="s">
        <v>66</v>
      </c>
      <c r="C28" s="7" t="s">
        <v>64</v>
      </c>
      <c r="D28" s="8" t="s">
        <v>12</v>
      </c>
      <c r="E28" s="7" t="s">
        <v>67</v>
      </c>
      <c r="F28" s="7" t="s">
        <v>68</v>
      </c>
      <c r="G28" s="9">
        <v>50</v>
      </c>
      <c r="H28" s="7" t="s">
        <v>15</v>
      </c>
      <c r="I28" s="7" t="s">
        <v>20</v>
      </c>
    </row>
    <row r="29" spans="1:9" x14ac:dyDescent="0.25">
      <c r="A29" s="4">
        <v>25</v>
      </c>
      <c r="B29" s="4" t="s">
        <v>66</v>
      </c>
      <c r="C29" s="4" t="s">
        <v>64</v>
      </c>
      <c r="D29" s="5" t="s">
        <v>12</v>
      </c>
      <c r="E29" s="4" t="s">
        <v>67</v>
      </c>
      <c r="F29" s="4" t="s">
        <v>69</v>
      </c>
      <c r="G29" s="6">
        <v>50</v>
      </c>
      <c r="H29" s="4" t="s">
        <v>15</v>
      </c>
      <c r="I29" s="4" t="s">
        <v>24</v>
      </c>
    </row>
    <row r="30" spans="1:9" x14ac:dyDescent="0.25">
      <c r="A30" s="7">
        <v>26</v>
      </c>
      <c r="B30" s="7" t="s">
        <v>66</v>
      </c>
      <c r="C30" s="7" t="s">
        <v>64</v>
      </c>
      <c r="D30" s="8" t="s">
        <v>12</v>
      </c>
      <c r="E30" s="7" t="s">
        <v>67</v>
      </c>
      <c r="F30" s="7" t="s">
        <v>70</v>
      </c>
      <c r="G30" s="9">
        <v>50</v>
      </c>
      <c r="H30" s="7" t="s">
        <v>15</v>
      </c>
      <c r="I30" s="7" t="s">
        <v>26</v>
      </c>
    </row>
    <row r="31" spans="1:9" x14ac:dyDescent="0.25">
      <c r="A31" s="4">
        <v>27</v>
      </c>
      <c r="B31" s="4" t="s">
        <v>66</v>
      </c>
      <c r="C31" s="4" t="s">
        <v>64</v>
      </c>
      <c r="D31" s="5" t="s">
        <v>12</v>
      </c>
      <c r="E31" s="4" t="s">
        <v>67</v>
      </c>
      <c r="F31" s="4" t="s">
        <v>71</v>
      </c>
      <c r="G31" s="6">
        <v>50</v>
      </c>
      <c r="H31" s="4" t="s">
        <v>15</v>
      </c>
      <c r="I31" s="4" t="s">
        <v>47</v>
      </c>
    </row>
    <row r="32" spans="1:9" x14ac:dyDescent="0.25">
      <c r="A32" s="7">
        <v>28</v>
      </c>
      <c r="B32" s="7" t="s">
        <v>66</v>
      </c>
      <c r="C32" s="7" t="s">
        <v>64</v>
      </c>
      <c r="D32" s="8" t="s">
        <v>12</v>
      </c>
      <c r="E32" s="7" t="s">
        <v>67</v>
      </c>
      <c r="F32" s="7" t="s">
        <v>72</v>
      </c>
      <c r="G32" s="9">
        <v>50</v>
      </c>
      <c r="H32" s="7" t="s">
        <v>15</v>
      </c>
      <c r="I32" s="7" t="s">
        <v>52</v>
      </c>
    </row>
    <row r="33" spans="1:9" x14ac:dyDescent="0.25">
      <c r="A33" s="4">
        <v>29</v>
      </c>
      <c r="B33" s="4" t="s">
        <v>66</v>
      </c>
      <c r="C33" s="4" t="s">
        <v>64</v>
      </c>
      <c r="D33" s="5" t="s">
        <v>12</v>
      </c>
      <c r="E33" s="4" t="s">
        <v>67</v>
      </c>
      <c r="F33" s="4" t="s">
        <v>73</v>
      </c>
      <c r="G33" s="6">
        <v>50</v>
      </c>
      <c r="H33" s="4" t="s">
        <v>15</v>
      </c>
      <c r="I33" s="4" t="s">
        <v>49</v>
      </c>
    </row>
    <row r="34" spans="1:9" x14ac:dyDescent="0.25">
      <c r="A34" s="7">
        <v>30</v>
      </c>
      <c r="B34" s="7" t="s">
        <v>66</v>
      </c>
      <c r="C34" s="7" t="s">
        <v>64</v>
      </c>
      <c r="D34" s="8" t="s">
        <v>12</v>
      </c>
      <c r="E34" s="7" t="s">
        <v>18</v>
      </c>
      <c r="F34" s="7" t="s">
        <v>74</v>
      </c>
      <c r="G34" s="9">
        <v>129</v>
      </c>
      <c r="H34" s="7" t="s">
        <v>15</v>
      </c>
      <c r="I34" s="7" t="s">
        <v>54</v>
      </c>
    </row>
    <row r="35" spans="1:9" x14ac:dyDescent="0.25">
      <c r="A35" s="4">
        <v>31</v>
      </c>
      <c r="B35" s="4" t="s">
        <v>66</v>
      </c>
      <c r="C35" s="4" t="s">
        <v>64</v>
      </c>
      <c r="D35" s="10" t="s">
        <v>28</v>
      </c>
      <c r="E35" s="4" t="s">
        <v>75</v>
      </c>
      <c r="F35" s="4" t="s">
        <v>76</v>
      </c>
      <c r="G35" s="4" t="s">
        <v>15</v>
      </c>
      <c r="H35" s="6">
        <v>300</v>
      </c>
      <c r="I35" s="4" t="s">
        <v>54</v>
      </c>
    </row>
    <row r="36" spans="1:9" x14ac:dyDescent="0.25">
      <c r="A36" s="7">
        <v>32</v>
      </c>
      <c r="B36" s="7" t="s">
        <v>77</v>
      </c>
      <c r="C36" s="7" t="s">
        <v>64</v>
      </c>
      <c r="D36" s="8" t="s">
        <v>12</v>
      </c>
      <c r="E36" s="7" t="s">
        <v>18</v>
      </c>
      <c r="F36" s="7" t="s">
        <v>78</v>
      </c>
      <c r="G36" s="9">
        <v>258</v>
      </c>
      <c r="H36" s="7" t="s">
        <v>15</v>
      </c>
      <c r="I36" s="7" t="s">
        <v>47</v>
      </c>
    </row>
    <row r="37" spans="1:9" x14ac:dyDescent="0.25">
      <c r="A37" s="4">
        <v>33</v>
      </c>
      <c r="B37" s="4" t="s">
        <v>77</v>
      </c>
      <c r="C37" s="4" t="s">
        <v>64</v>
      </c>
      <c r="D37" s="5" t="s">
        <v>12</v>
      </c>
      <c r="E37" s="4" t="s">
        <v>22</v>
      </c>
      <c r="F37" s="4" t="s">
        <v>79</v>
      </c>
      <c r="G37" s="6">
        <v>22</v>
      </c>
      <c r="H37" s="4" t="s">
        <v>15</v>
      </c>
      <c r="I37" s="4" t="s">
        <v>47</v>
      </c>
    </row>
    <row r="38" spans="1:9" x14ac:dyDescent="0.25">
      <c r="A38" s="7">
        <v>34</v>
      </c>
      <c r="B38" s="7" t="s">
        <v>80</v>
      </c>
      <c r="C38" s="7" t="s">
        <v>64</v>
      </c>
      <c r="D38" s="11" t="s">
        <v>28</v>
      </c>
      <c r="E38" s="7" t="s">
        <v>81</v>
      </c>
      <c r="F38" s="7" t="s">
        <v>82</v>
      </c>
      <c r="G38" s="7" t="s">
        <v>15</v>
      </c>
      <c r="H38" s="9">
        <v>4000</v>
      </c>
      <c r="I38" s="7" t="s">
        <v>16</v>
      </c>
    </row>
    <row r="39" spans="1:9" x14ac:dyDescent="0.25">
      <c r="A39" s="4">
        <v>35</v>
      </c>
      <c r="B39" s="4" t="s">
        <v>83</v>
      </c>
      <c r="C39" s="4" t="s">
        <v>64</v>
      </c>
      <c r="D39" s="5" t="s">
        <v>12</v>
      </c>
      <c r="E39" s="4" t="s">
        <v>18</v>
      </c>
      <c r="F39" s="4" t="s">
        <v>84</v>
      </c>
      <c r="G39" s="6">
        <v>48</v>
      </c>
      <c r="H39" s="4" t="s">
        <v>15</v>
      </c>
      <c r="I39" s="4" t="s">
        <v>24</v>
      </c>
    </row>
    <row r="40" spans="1:9" x14ac:dyDescent="0.25">
      <c r="A40" s="7">
        <v>36</v>
      </c>
      <c r="B40" s="7" t="s">
        <v>85</v>
      </c>
      <c r="C40" s="7" t="s">
        <v>64</v>
      </c>
      <c r="D40" s="8" t="s">
        <v>12</v>
      </c>
      <c r="E40" s="7" t="s">
        <v>18</v>
      </c>
      <c r="F40" s="7" t="s">
        <v>86</v>
      </c>
      <c r="G40" s="9">
        <v>600</v>
      </c>
      <c r="H40" s="7" t="s">
        <v>15</v>
      </c>
      <c r="I40" s="7" t="s">
        <v>20</v>
      </c>
    </row>
    <row r="41" spans="1:9" x14ac:dyDescent="0.25">
      <c r="A41" s="4">
        <v>37</v>
      </c>
      <c r="B41" s="4" t="s">
        <v>85</v>
      </c>
      <c r="C41" s="4" t="s">
        <v>64</v>
      </c>
      <c r="D41" s="10" t="s">
        <v>28</v>
      </c>
      <c r="E41" s="4" t="s">
        <v>29</v>
      </c>
      <c r="F41" s="4" t="s">
        <v>87</v>
      </c>
      <c r="G41" s="4" t="s">
        <v>15</v>
      </c>
      <c r="H41" s="6">
        <v>4000</v>
      </c>
      <c r="I41" s="4" t="s">
        <v>16</v>
      </c>
    </row>
    <row r="42" spans="1:9" x14ac:dyDescent="0.25">
      <c r="A42" s="7">
        <v>38</v>
      </c>
      <c r="B42" s="7" t="s">
        <v>88</v>
      </c>
      <c r="C42" s="7" t="s">
        <v>89</v>
      </c>
      <c r="D42" s="8" t="s">
        <v>12</v>
      </c>
      <c r="E42" s="7" t="s">
        <v>13</v>
      </c>
      <c r="F42" s="7" t="s">
        <v>90</v>
      </c>
      <c r="G42" s="9">
        <v>1061.32</v>
      </c>
      <c r="H42" s="7" t="s">
        <v>15</v>
      </c>
      <c r="I42" s="7" t="s">
        <v>16</v>
      </c>
    </row>
    <row r="43" spans="1:9" x14ac:dyDescent="0.25">
      <c r="A43" s="4">
        <v>39</v>
      </c>
      <c r="B43" s="4" t="s">
        <v>91</v>
      </c>
      <c r="C43" s="4" t="s">
        <v>89</v>
      </c>
      <c r="D43" s="10" t="s">
        <v>28</v>
      </c>
      <c r="E43" s="4" t="s">
        <v>29</v>
      </c>
      <c r="F43" s="4" t="s">
        <v>92</v>
      </c>
      <c r="G43" s="4" t="s">
        <v>15</v>
      </c>
      <c r="H43" s="6">
        <v>8016.25</v>
      </c>
      <c r="I43" s="4" t="s">
        <v>16</v>
      </c>
    </row>
    <row r="44" spans="1:9" x14ac:dyDescent="0.25">
      <c r="A44" s="7">
        <v>40</v>
      </c>
      <c r="B44" s="7" t="s">
        <v>91</v>
      </c>
      <c r="C44" s="7" t="s">
        <v>89</v>
      </c>
      <c r="D44" s="11" t="s">
        <v>28</v>
      </c>
      <c r="E44" s="7" t="s">
        <v>34</v>
      </c>
      <c r="F44" s="7" t="s">
        <v>93</v>
      </c>
      <c r="G44" s="7" t="s">
        <v>15</v>
      </c>
      <c r="H44" s="9">
        <v>250</v>
      </c>
      <c r="I44" s="7" t="s">
        <v>26</v>
      </c>
    </row>
    <row r="45" spans="1:9" x14ac:dyDescent="0.25">
      <c r="A45" s="4">
        <v>41</v>
      </c>
      <c r="B45" s="4" t="s">
        <v>94</v>
      </c>
      <c r="C45" s="4" t="s">
        <v>89</v>
      </c>
      <c r="D45" s="5" t="s">
        <v>12</v>
      </c>
      <c r="E45" s="4" t="s">
        <v>95</v>
      </c>
      <c r="F45" s="4" t="s">
        <v>96</v>
      </c>
      <c r="G45" s="6">
        <v>19462</v>
      </c>
      <c r="H45" s="4" t="s">
        <v>15</v>
      </c>
      <c r="I45" s="4" t="s">
        <v>16</v>
      </c>
    </row>
    <row r="46" spans="1:9" x14ac:dyDescent="0.25">
      <c r="A46" s="7">
        <v>42</v>
      </c>
      <c r="B46" s="7" t="s">
        <v>94</v>
      </c>
      <c r="C46" s="7" t="s">
        <v>89</v>
      </c>
      <c r="D46" s="11" t="s">
        <v>28</v>
      </c>
      <c r="E46" s="7" t="s">
        <v>81</v>
      </c>
      <c r="F46" s="7" t="s">
        <v>97</v>
      </c>
      <c r="G46" s="7" t="s">
        <v>15</v>
      </c>
      <c r="H46" s="9">
        <v>7704</v>
      </c>
      <c r="I46" s="7" t="s">
        <v>16</v>
      </c>
    </row>
    <row r="47" spans="1:9" x14ac:dyDescent="0.25">
      <c r="A47" s="4">
        <v>43</v>
      </c>
      <c r="B47" s="4" t="s">
        <v>94</v>
      </c>
      <c r="C47" s="4" t="s">
        <v>89</v>
      </c>
      <c r="D47" s="10" t="s">
        <v>28</v>
      </c>
      <c r="E47" s="4" t="s">
        <v>81</v>
      </c>
      <c r="F47" s="4" t="s">
        <v>98</v>
      </c>
      <c r="G47" s="4" t="s">
        <v>15</v>
      </c>
      <c r="H47" s="6">
        <v>3785.59</v>
      </c>
      <c r="I47" s="4" t="s">
        <v>16</v>
      </c>
    </row>
    <row r="48" spans="1:9" x14ac:dyDescent="0.25">
      <c r="A48" s="7">
        <v>44</v>
      </c>
      <c r="B48" s="7" t="s">
        <v>94</v>
      </c>
      <c r="C48" s="7" t="s">
        <v>89</v>
      </c>
      <c r="D48" s="11" t="s">
        <v>28</v>
      </c>
      <c r="E48" s="7" t="s">
        <v>60</v>
      </c>
      <c r="F48" s="7" t="s">
        <v>99</v>
      </c>
      <c r="G48" s="7" t="s">
        <v>15</v>
      </c>
      <c r="H48" s="9">
        <v>50</v>
      </c>
      <c r="I48" s="7" t="s">
        <v>16</v>
      </c>
    </row>
    <row r="49" spans="1:9" x14ac:dyDescent="0.25">
      <c r="A49" s="4">
        <v>45</v>
      </c>
      <c r="B49" s="4" t="s">
        <v>94</v>
      </c>
      <c r="C49" s="4" t="s">
        <v>89</v>
      </c>
      <c r="D49" s="10" t="s">
        <v>28</v>
      </c>
      <c r="E49" s="4" t="s">
        <v>100</v>
      </c>
      <c r="F49" s="4" t="s">
        <v>101</v>
      </c>
      <c r="G49" s="4" t="s">
        <v>15</v>
      </c>
      <c r="H49" s="6">
        <v>200</v>
      </c>
      <c r="I49" s="4" t="s">
        <v>16</v>
      </c>
    </row>
    <row r="50" spans="1:9" x14ac:dyDescent="0.25">
      <c r="A50" s="7">
        <v>46</v>
      </c>
      <c r="B50" s="7" t="s">
        <v>94</v>
      </c>
      <c r="C50" s="7" t="s">
        <v>89</v>
      </c>
      <c r="D50" s="11" t="s">
        <v>28</v>
      </c>
      <c r="E50" s="7" t="s">
        <v>81</v>
      </c>
      <c r="F50" s="7" t="s">
        <v>102</v>
      </c>
      <c r="G50" s="7" t="s">
        <v>15</v>
      </c>
      <c r="H50" s="9">
        <v>250</v>
      </c>
      <c r="I50" s="7" t="s">
        <v>16</v>
      </c>
    </row>
    <row r="51" spans="1:9" x14ac:dyDescent="0.25">
      <c r="A51" s="4">
        <v>47</v>
      </c>
      <c r="B51" s="4" t="s">
        <v>94</v>
      </c>
      <c r="C51" s="4" t="s">
        <v>89</v>
      </c>
      <c r="D51" s="10" t="s">
        <v>28</v>
      </c>
      <c r="E51" s="4" t="s">
        <v>34</v>
      </c>
      <c r="F51" s="4" t="s">
        <v>103</v>
      </c>
      <c r="G51" s="4" t="s">
        <v>15</v>
      </c>
      <c r="H51" s="6">
        <v>395</v>
      </c>
      <c r="I51" s="4" t="s">
        <v>16</v>
      </c>
    </row>
    <row r="52" spans="1:9" x14ac:dyDescent="0.25">
      <c r="A52" s="7">
        <v>48</v>
      </c>
      <c r="B52" s="7" t="s">
        <v>94</v>
      </c>
      <c r="C52" s="7" t="s">
        <v>89</v>
      </c>
      <c r="D52" s="11" t="s">
        <v>28</v>
      </c>
      <c r="E52" s="7" t="s">
        <v>81</v>
      </c>
      <c r="F52" s="7" t="s">
        <v>104</v>
      </c>
      <c r="G52" s="7" t="s">
        <v>15</v>
      </c>
      <c r="H52" s="9">
        <v>250</v>
      </c>
      <c r="I52" s="7" t="s">
        <v>16</v>
      </c>
    </row>
    <row r="53" spans="1:9" x14ac:dyDescent="0.25">
      <c r="A53" s="4">
        <v>49</v>
      </c>
      <c r="B53" s="4" t="s">
        <v>94</v>
      </c>
      <c r="C53" s="4" t="s">
        <v>89</v>
      </c>
      <c r="D53" s="10" t="s">
        <v>28</v>
      </c>
      <c r="E53" s="4" t="s">
        <v>81</v>
      </c>
      <c r="F53" s="4" t="s">
        <v>105</v>
      </c>
      <c r="G53" s="4" t="s">
        <v>15</v>
      </c>
      <c r="H53" s="6">
        <v>100</v>
      </c>
      <c r="I53" s="4" t="s">
        <v>16</v>
      </c>
    </row>
    <row r="54" spans="1:9" x14ac:dyDescent="0.25">
      <c r="A54" s="7">
        <v>50</v>
      </c>
      <c r="B54" s="7" t="s">
        <v>94</v>
      </c>
      <c r="C54" s="7" t="s">
        <v>89</v>
      </c>
      <c r="D54" s="11" t="s">
        <v>28</v>
      </c>
      <c r="E54" s="7" t="s">
        <v>81</v>
      </c>
      <c r="F54" s="7" t="s">
        <v>106</v>
      </c>
      <c r="G54" s="7" t="s">
        <v>15</v>
      </c>
      <c r="H54" s="9">
        <v>1050</v>
      </c>
      <c r="I54" s="7" t="s">
        <v>16</v>
      </c>
    </row>
    <row r="55" spans="1:9" x14ac:dyDescent="0.25">
      <c r="A55" s="4">
        <v>51</v>
      </c>
      <c r="B55" s="4" t="s">
        <v>107</v>
      </c>
      <c r="C55" s="4" t="s">
        <v>89</v>
      </c>
      <c r="D55" s="5" t="s">
        <v>12</v>
      </c>
      <c r="E55" s="4" t="s">
        <v>95</v>
      </c>
      <c r="F55" s="4" t="s">
        <v>108</v>
      </c>
      <c r="G55" s="6">
        <v>100</v>
      </c>
      <c r="H55" s="4" t="s">
        <v>15</v>
      </c>
      <c r="I55" s="4" t="s">
        <v>54</v>
      </c>
    </row>
    <row r="56" spans="1:9" x14ac:dyDescent="0.25">
      <c r="A56" s="7">
        <v>52</v>
      </c>
      <c r="B56" s="7" t="s">
        <v>109</v>
      </c>
      <c r="C56" s="7" t="s">
        <v>89</v>
      </c>
      <c r="D56" s="8" t="s">
        <v>12</v>
      </c>
      <c r="E56" s="7" t="s">
        <v>22</v>
      </c>
      <c r="F56" s="7" t="s">
        <v>110</v>
      </c>
      <c r="G56" s="9">
        <v>401</v>
      </c>
      <c r="H56" s="7" t="s">
        <v>15</v>
      </c>
      <c r="I56" s="7" t="s">
        <v>47</v>
      </c>
    </row>
    <row r="57" spans="1:9" x14ac:dyDescent="0.25">
      <c r="A57" s="4">
        <v>53</v>
      </c>
      <c r="B57" s="4" t="s">
        <v>109</v>
      </c>
      <c r="C57" s="4" t="s">
        <v>89</v>
      </c>
      <c r="D57" s="10" t="s">
        <v>28</v>
      </c>
      <c r="E57" s="4" t="s">
        <v>29</v>
      </c>
      <c r="F57" s="4" t="s">
        <v>111</v>
      </c>
      <c r="G57" s="4" t="s">
        <v>15</v>
      </c>
      <c r="H57" s="6">
        <v>410</v>
      </c>
      <c r="I57" s="4" t="s">
        <v>16</v>
      </c>
    </row>
    <row r="58" spans="1:9" x14ac:dyDescent="0.25">
      <c r="A58" s="7">
        <v>54</v>
      </c>
      <c r="B58" s="7" t="s">
        <v>109</v>
      </c>
      <c r="C58" s="7" t="s">
        <v>89</v>
      </c>
      <c r="D58" s="8" t="s">
        <v>12</v>
      </c>
      <c r="E58" s="7" t="s">
        <v>18</v>
      </c>
      <c r="F58" s="7" t="s">
        <v>112</v>
      </c>
      <c r="G58" s="9">
        <v>948</v>
      </c>
      <c r="H58" s="7" t="s">
        <v>15</v>
      </c>
      <c r="I58" s="7" t="s">
        <v>16</v>
      </c>
    </row>
    <row r="59" spans="1:9" x14ac:dyDescent="0.25">
      <c r="A59" s="4">
        <v>55</v>
      </c>
      <c r="B59" s="4" t="s">
        <v>113</v>
      </c>
      <c r="C59" s="4" t="s">
        <v>89</v>
      </c>
      <c r="D59" s="5" t="s">
        <v>12</v>
      </c>
      <c r="E59" s="4" t="s">
        <v>95</v>
      </c>
      <c r="F59" s="4" t="s">
        <v>114</v>
      </c>
      <c r="G59" s="6">
        <v>50</v>
      </c>
      <c r="H59" s="4" t="s">
        <v>15</v>
      </c>
      <c r="I59" s="4" t="s">
        <v>20</v>
      </c>
    </row>
    <row r="60" spans="1:9" x14ac:dyDescent="0.25">
      <c r="A60" s="7">
        <v>56</v>
      </c>
      <c r="B60" s="7" t="s">
        <v>113</v>
      </c>
      <c r="C60" s="7" t="s">
        <v>89</v>
      </c>
      <c r="D60" s="8" t="s">
        <v>12</v>
      </c>
      <c r="E60" s="7" t="s">
        <v>22</v>
      </c>
      <c r="F60" s="7" t="s">
        <v>115</v>
      </c>
      <c r="G60" s="9">
        <v>401.28</v>
      </c>
      <c r="H60" s="7" t="s">
        <v>15</v>
      </c>
      <c r="I60" s="7" t="s">
        <v>116</v>
      </c>
    </row>
    <row r="61" spans="1:9" x14ac:dyDescent="0.25">
      <c r="A61" s="4">
        <v>57</v>
      </c>
      <c r="B61" s="4" t="s">
        <v>113</v>
      </c>
      <c r="C61" s="4" t="s">
        <v>89</v>
      </c>
      <c r="D61" s="5" t="s">
        <v>12</v>
      </c>
      <c r="E61" s="4" t="s">
        <v>22</v>
      </c>
      <c r="F61" s="4" t="s">
        <v>117</v>
      </c>
      <c r="G61" s="6">
        <v>283.66</v>
      </c>
      <c r="H61" s="4" t="s">
        <v>15</v>
      </c>
      <c r="I61" s="4" t="s">
        <v>116</v>
      </c>
    </row>
    <row r="62" spans="1:9" x14ac:dyDescent="0.25">
      <c r="A62" s="7">
        <v>58</v>
      </c>
      <c r="B62" s="7" t="s">
        <v>118</v>
      </c>
      <c r="C62" s="7" t="s">
        <v>89</v>
      </c>
      <c r="D62" s="11" t="s">
        <v>28</v>
      </c>
      <c r="E62" s="7" t="s">
        <v>119</v>
      </c>
      <c r="F62" s="7" t="s">
        <v>120</v>
      </c>
      <c r="G62" s="7" t="s">
        <v>15</v>
      </c>
      <c r="H62" s="9">
        <v>150</v>
      </c>
      <c r="I62" s="7" t="s">
        <v>16</v>
      </c>
    </row>
    <row r="63" spans="1:9" x14ac:dyDescent="0.25">
      <c r="A63" s="4">
        <v>59</v>
      </c>
      <c r="B63" s="4" t="s">
        <v>121</v>
      </c>
      <c r="C63" s="4" t="s">
        <v>122</v>
      </c>
      <c r="D63" s="5" t="s">
        <v>12</v>
      </c>
      <c r="E63" s="4" t="s">
        <v>95</v>
      </c>
      <c r="F63" s="4" t="s">
        <v>123</v>
      </c>
      <c r="G63" s="6">
        <v>100</v>
      </c>
      <c r="H63" s="4" t="s">
        <v>15</v>
      </c>
      <c r="I63" s="4" t="s">
        <v>49</v>
      </c>
    </row>
    <row r="64" spans="1:9" x14ac:dyDescent="0.25">
      <c r="A64" s="7">
        <v>60</v>
      </c>
      <c r="B64" s="7" t="s">
        <v>121</v>
      </c>
      <c r="C64" s="7" t="s">
        <v>122</v>
      </c>
      <c r="D64" s="8" t="s">
        <v>12</v>
      </c>
      <c r="E64" s="7" t="s">
        <v>22</v>
      </c>
      <c r="F64" s="7" t="s">
        <v>124</v>
      </c>
      <c r="G64" s="9">
        <v>73</v>
      </c>
      <c r="H64" s="7" t="s">
        <v>15</v>
      </c>
      <c r="I64" s="7" t="s">
        <v>49</v>
      </c>
    </row>
    <row r="65" spans="1:9" x14ac:dyDescent="0.25">
      <c r="A65" s="4">
        <v>61</v>
      </c>
      <c r="B65" s="4" t="s">
        <v>121</v>
      </c>
      <c r="C65" s="4" t="s">
        <v>122</v>
      </c>
      <c r="D65" s="5" t="s">
        <v>12</v>
      </c>
      <c r="E65" s="4" t="s">
        <v>18</v>
      </c>
      <c r="F65" s="4" t="s">
        <v>125</v>
      </c>
      <c r="G65" s="6">
        <v>813</v>
      </c>
      <c r="H65" s="4" t="s">
        <v>15</v>
      </c>
      <c r="I65" s="4" t="s">
        <v>49</v>
      </c>
    </row>
    <row r="66" spans="1:9" x14ac:dyDescent="0.25">
      <c r="A66" s="7">
        <v>62</v>
      </c>
      <c r="B66" s="7" t="s">
        <v>121</v>
      </c>
      <c r="C66" s="7" t="s">
        <v>122</v>
      </c>
      <c r="D66" s="8" t="s">
        <v>12</v>
      </c>
      <c r="E66" s="7" t="s">
        <v>67</v>
      </c>
      <c r="F66" s="7" t="s">
        <v>126</v>
      </c>
      <c r="G66" s="9">
        <v>43.5</v>
      </c>
      <c r="H66" s="7" t="s">
        <v>15</v>
      </c>
      <c r="I66" s="7" t="s">
        <v>54</v>
      </c>
    </row>
    <row r="67" spans="1:9" x14ac:dyDescent="0.25">
      <c r="A67" s="4">
        <v>63</v>
      </c>
      <c r="B67" s="4" t="s">
        <v>121</v>
      </c>
      <c r="C67" s="4" t="s">
        <v>122</v>
      </c>
      <c r="D67" s="5" t="s">
        <v>12</v>
      </c>
      <c r="E67" s="4" t="s">
        <v>67</v>
      </c>
      <c r="F67" s="4" t="s">
        <v>127</v>
      </c>
      <c r="G67" s="6">
        <v>148.5</v>
      </c>
      <c r="H67" s="4" t="s">
        <v>15</v>
      </c>
      <c r="I67" s="4" t="s">
        <v>20</v>
      </c>
    </row>
    <row r="68" spans="1:9" x14ac:dyDescent="0.25">
      <c r="A68" s="7">
        <v>64</v>
      </c>
      <c r="B68" s="7" t="s">
        <v>121</v>
      </c>
      <c r="C68" s="7" t="s">
        <v>122</v>
      </c>
      <c r="D68" s="8" t="s">
        <v>12</v>
      </c>
      <c r="E68" s="7" t="s">
        <v>67</v>
      </c>
      <c r="F68" s="7" t="s">
        <v>128</v>
      </c>
      <c r="G68" s="9">
        <v>114</v>
      </c>
      <c r="H68" s="7" t="s">
        <v>15</v>
      </c>
      <c r="I68" s="7" t="s">
        <v>47</v>
      </c>
    </row>
    <row r="69" spans="1:9" x14ac:dyDescent="0.25">
      <c r="A69" s="4">
        <v>65</v>
      </c>
      <c r="B69" s="4" t="s">
        <v>121</v>
      </c>
      <c r="C69" s="4" t="s">
        <v>122</v>
      </c>
      <c r="D69" s="5" t="s">
        <v>12</v>
      </c>
      <c r="E69" s="4" t="s">
        <v>67</v>
      </c>
      <c r="F69" s="4" t="s">
        <v>129</v>
      </c>
      <c r="G69" s="6">
        <v>37.5</v>
      </c>
      <c r="H69" s="4" t="s">
        <v>15</v>
      </c>
      <c r="I69" s="4" t="s">
        <v>130</v>
      </c>
    </row>
    <row r="70" spans="1:9" x14ac:dyDescent="0.25">
      <c r="A70" s="7">
        <v>66</v>
      </c>
      <c r="B70" s="7" t="s">
        <v>121</v>
      </c>
      <c r="C70" s="7" t="s">
        <v>122</v>
      </c>
      <c r="D70" s="8" t="s">
        <v>12</v>
      </c>
      <c r="E70" s="7" t="s">
        <v>67</v>
      </c>
      <c r="F70" s="7" t="s">
        <v>131</v>
      </c>
      <c r="G70" s="9">
        <v>109.5</v>
      </c>
      <c r="H70" s="7" t="s">
        <v>15</v>
      </c>
      <c r="I70" s="7" t="s">
        <v>49</v>
      </c>
    </row>
    <row r="71" spans="1:9" x14ac:dyDescent="0.25">
      <c r="A71" s="4">
        <v>67</v>
      </c>
      <c r="B71" s="4" t="s">
        <v>121</v>
      </c>
      <c r="C71" s="4" t="s">
        <v>122</v>
      </c>
      <c r="D71" s="5" t="s">
        <v>12</v>
      </c>
      <c r="E71" s="4" t="s">
        <v>67</v>
      </c>
      <c r="F71" s="4" t="s">
        <v>132</v>
      </c>
      <c r="G71" s="6">
        <v>82.5</v>
      </c>
      <c r="H71" s="4" t="s">
        <v>15</v>
      </c>
      <c r="I71" s="4" t="s">
        <v>24</v>
      </c>
    </row>
    <row r="72" spans="1:9" x14ac:dyDescent="0.25">
      <c r="A72" s="7">
        <v>68</v>
      </c>
      <c r="B72" s="7" t="s">
        <v>121</v>
      </c>
      <c r="C72" s="7" t="s">
        <v>122</v>
      </c>
      <c r="D72" s="8" t="s">
        <v>12</v>
      </c>
      <c r="E72" s="7" t="s">
        <v>67</v>
      </c>
      <c r="F72" s="7" t="s">
        <v>133</v>
      </c>
      <c r="G72" s="9">
        <v>55.5</v>
      </c>
      <c r="H72" s="7" t="s">
        <v>15</v>
      </c>
      <c r="I72" s="7" t="s">
        <v>52</v>
      </c>
    </row>
    <row r="73" spans="1:9" x14ac:dyDescent="0.25">
      <c r="A73" s="4">
        <v>69</v>
      </c>
      <c r="B73" s="4" t="s">
        <v>121</v>
      </c>
      <c r="C73" s="4" t="s">
        <v>122</v>
      </c>
      <c r="D73" s="5" t="s">
        <v>12</v>
      </c>
      <c r="E73" s="4" t="s">
        <v>67</v>
      </c>
      <c r="F73" s="4" t="s">
        <v>134</v>
      </c>
      <c r="G73" s="6">
        <v>180</v>
      </c>
      <c r="H73" s="4" t="s">
        <v>15</v>
      </c>
      <c r="I73" s="4" t="s">
        <v>26</v>
      </c>
    </row>
    <row r="74" spans="1:9" x14ac:dyDescent="0.25">
      <c r="A74" s="7">
        <v>70</v>
      </c>
      <c r="B74" s="7" t="s">
        <v>135</v>
      </c>
      <c r="C74" s="7" t="s">
        <v>122</v>
      </c>
      <c r="D74" s="11" t="s">
        <v>28</v>
      </c>
      <c r="E74" s="7" t="s">
        <v>75</v>
      </c>
      <c r="F74" s="7" t="s">
        <v>136</v>
      </c>
      <c r="G74" s="7" t="s">
        <v>15</v>
      </c>
      <c r="H74" s="9">
        <v>771</v>
      </c>
      <c r="I74" s="7" t="s">
        <v>16</v>
      </c>
    </row>
    <row r="75" spans="1:9" x14ac:dyDescent="0.25">
      <c r="A75" s="4">
        <v>71</v>
      </c>
      <c r="B75" s="4" t="s">
        <v>137</v>
      </c>
      <c r="C75" s="4" t="s">
        <v>122</v>
      </c>
      <c r="D75" s="10" t="s">
        <v>28</v>
      </c>
      <c r="E75" s="4" t="s">
        <v>138</v>
      </c>
      <c r="F75" s="4" t="s">
        <v>139</v>
      </c>
      <c r="G75" s="4" t="s">
        <v>15</v>
      </c>
      <c r="H75" s="6">
        <v>350</v>
      </c>
      <c r="I75" s="4" t="s">
        <v>16</v>
      </c>
    </row>
    <row r="76" spans="1:9" x14ac:dyDescent="0.25">
      <c r="A76" s="7">
        <v>72</v>
      </c>
      <c r="B76" s="7" t="s">
        <v>140</v>
      </c>
      <c r="C76" s="7" t="s">
        <v>122</v>
      </c>
      <c r="D76" s="11" t="s">
        <v>28</v>
      </c>
      <c r="E76" s="7" t="s">
        <v>38</v>
      </c>
      <c r="F76" s="7" t="s">
        <v>141</v>
      </c>
      <c r="G76" s="7" t="s">
        <v>15</v>
      </c>
      <c r="H76" s="9">
        <v>75</v>
      </c>
      <c r="I76" s="7" t="s">
        <v>16</v>
      </c>
    </row>
    <row r="77" spans="1:9" x14ac:dyDescent="0.25">
      <c r="A77" s="4">
        <v>73</v>
      </c>
      <c r="B77" s="4" t="s">
        <v>142</v>
      </c>
      <c r="C77" s="4" t="s">
        <v>122</v>
      </c>
      <c r="D77" s="5" t="s">
        <v>12</v>
      </c>
      <c r="E77" s="4" t="s">
        <v>67</v>
      </c>
      <c r="F77" s="4" t="s">
        <v>143</v>
      </c>
      <c r="G77" s="6">
        <v>50</v>
      </c>
      <c r="H77" s="4" t="s">
        <v>15</v>
      </c>
      <c r="I77" s="4" t="s">
        <v>26</v>
      </c>
    </row>
    <row r="78" spans="1:9" x14ac:dyDescent="0.25">
      <c r="A78" s="7">
        <v>74</v>
      </c>
      <c r="B78" s="7" t="s">
        <v>142</v>
      </c>
      <c r="C78" s="7" t="s">
        <v>122</v>
      </c>
      <c r="D78" s="8" t="s">
        <v>12</v>
      </c>
      <c r="E78" s="7" t="s">
        <v>67</v>
      </c>
      <c r="F78" s="7" t="s">
        <v>144</v>
      </c>
      <c r="G78" s="9">
        <v>50</v>
      </c>
      <c r="H78" s="7" t="s">
        <v>15</v>
      </c>
      <c r="I78" s="7" t="s">
        <v>20</v>
      </c>
    </row>
    <row r="79" spans="1:9" x14ac:dyDescent="0.25">
      <c r="A79" s="4">
        <v>75</v>
      </c>
      <c r="B79" s="4" t="s">
        <v>142</v>
      </c>
      <c r="C79" s="4" t="s">
        <v>122</v>
      </c>
      <c r="D79" s="5" t="s">
        <v>12</v>
      </c>
      <c r="E79" s="4" t="s">
        <v>67</v>
      </c>
      <c r="F79" s="4" t="s">
        <v>145</v>
      </c>
      <c r="G79" s="6">
        <v>50</v>
      </c>
      <c r="H79" s="4" t="s">
        <v>15</v>
      </c>
      <c r="I79" s="4" t="s">
        <v>54</v>
      </c>
    </row>
    <row r="80" spans="1:9" x14ac:dyDescent="0.25">
      <c r="A80" s="7">
        <v>76</v>
      </c>
      <c r="B80" s="7" t="s">
        <v>142</v>
      </c>
      <c r="C80" s="7" t="s">
        <v>122</v>
      </c>
      <c r="D80" s="8" t="s">
        <v>12</v>
      </c>
      <c r="E80" s="7" t="s">
        <v>67</v>
      </c>
      <c r="F80" s="7" t="s">
        <v>146</v>
      </c>
      <c r="G80" s="9">
        <v>50</v>
      </c>
      <c r="H80" s="7" t="s">
        <v>15</v>
      </c>
      <c r="I80" s="7" t="s">
        <v>52</v>
      </c>
    </row>
    <row r="81" spans="1:9" x14ac:dyDescent="0.25">
      <c r="A81" s="4">
        <v>77</v>
      </c>
      <c r="B81" s="4" t="s">
        <v>142</v>
      </c>
      <c r="C81" s="4" t="s">
        <v>122</v>
      </c>
      <c r="D81" s="5" t="s">
        <v>12</v>
      </c>
      <c r="E81" s="4" t="s">
        <v>67</v>
      </c>
      <c r="F81" s="4" t="s">
        <v>147</v>
      </c>
      <c r="G81" s="6">
        <v>50</v>
      </c>
      <c r="H81" s="4" t="s">
        <v>15</v>
      </c>
      <c r="I81" s="4" t="s">
        <v>47</v>
      </c>
    </row>
    <row r="82" spans="1:9" x14ac:dyDescent="0.25">
      <c r="A82" s="7">
        <v>78</v>
      </c>
      <c r="B82" s="7" t="s">
        <v>142</v>
      </c>
      <c r="C82" s="7" t="s">
        <v>122</v>
      </c>
      <c r="D82" s="8" t="s">
        <v>12</v>
      </c>
      <c r="E82" s="7" t="s">
        <v>67</v>
      </c>
      <c r="F82" s="7" t="s">
        <v>148</v>
      </c>
      <c r="G82" s="9">
        <v>50</v>
      </c>
      <c r="H82" s="7" t="s">
        <v>15</v>
      </c>
      <c r="I82" s="7" t="s">
        <v>130</v>
      </c>
    </row>
    <row r="83" spans="1:9" x14ac:dyDescent="0.25">
      <c r="A83" s="4">
        <v>79</v>
      </c>
      <c r="B83" s="4" t="s">
        <v>142</v>
      </c>
      <c r="C83" s="4" t="s">
        <v>122</v>
      </c>
      <c r="D83" s="5" t="s">
        <v>12</v>
      </c>
      <c r="E83" s="4" t="s">
        <v>67</v>
      </c>
      <c r="F83" s="4" t="s">
        <v>149</v>
      </c>
      <c r="G83" s="6">
        <v>50</v>
      </c>
      <c r="H83" s="4" t="s">
        <v>15</v>
      </c>
      <c r="I83" s="4" t="s">
        <v>24</v>
      </c>
    </row>
    <row r="84" spans="1:9" x14ac:dyDescent="0.25">
      <c r="A84" s="7">
        <v>80</v>
      </c>
      <c r="B84" s="7" t="s">
        <v>150</v>
      </c>
      <c r="C84" s="7" t="s">
        <v>122</v>
      </c>
      <c r="D84" s="11" t="s">
        <v>28</v>
      </c>
      <c r="E84" s="7" t="s">
        <v>75</v>
      </c>
      <c r="F84" s="7" t="s">
        <v>151</v>
      </c>
      <c r="G84" s="7" t="s">
        <v>15</v>
      </c>
      <c r="H84" s="9">
        <v>300</v>
      </c>
      <c r="I84" s="7" t="s">
        <v>49</v>
      </c>
    </row>
    <row r="85" spans="1:9" x14ac:dyDescent="0.25">
      <c r="A85" s="4">
        <v>81</v>
      </c>
      <c r="B85" s="4" t="s">
        <v>152</v>
      </c>
      <c r="C85" s="4" t="s">
        <v>122</v>
      </c>
      <c r="D85" s="10" t="s">
        <v>28</v>
      </c>
      <c r="E85" s="4" t="s">
        <v>100</v>
      </c>
      <c r="F85" s="4" t="s">
        <v>153</v>
      </c>
      <c r="G85" s="4" t="s">
        <v>15</v>
      </c>
      <c r="H85" s="6">
        <v>200</v>
      </c>
      <c r="I85" s="4" t="s">
        <v>16</v>
      </c>
    </row>
    <row r="86" spans="1:9" x14ac:dyDescent="0.25">
      <c r="A86" s="7">
        <v>82</v>
      </c>
      <c r="B86" s="7" t="s">
        <v>152</v>
      </c>
      <c r="C86" s="7" t="s">
        <v>122</v>
      </c>
      <c r="D86" s="11" t="s">
        <v>28</v>
      </c>
      <c r="E86" s="7" t="s">
        <v>29</v>
      </c>
      <c r="F86" s="7" t="s">
        <v>154</v>
      </c>
      <c r="G86" s="7" t="s">
        <v>15</v>
      </c>
      <c r="H86" s="9">
        <v>300</v>
      </c>
      <c r="I86" s="7" t="s">
        <v>16</v>
      </c>
    </row>
    <row r="87" spans="1:9" x14ac:dyDescent="0.25">
      <c r="A87" s="4">
        <v>83</v>
      </c>
      <c r="B87" s="4" t="s">
        <v>155</v>
      </c>
      <c r="C87" s="4" t="s">
        <v>122</v>
      </c>
      <c r="D87" s="5" t="s">
        <v>12</v>
      </c>
      <c r="E87" s="4" t="s">
        <v>18</v>
      </c>
      <c r="F87" s="4" t="s">
        <v>156</v>
      </c>
      <c r="G87" s="6">
        <v>140</v>
      </c>
      <c r="H87" s="4" t="s">
        <v>15</v>
      </c>
      <c r="I87" s="4" t="s">
        <v>20</v>
      </c>
    </row>
    <row r="88" spans="1:9" x14ac:dyDescent="0.25">
      <c r="A88" s="7">
        <v>84</v>
      </c>
      <c r="B88" s="7" t="s">
        <v>157</v>
      </c>
      <c r="C88" s="7" t="s">
        <v>158</v>
      </c>
      <c r="D88" s="8" t="s">
        <v>12</v>
      </c>
      <c r="E88" s="7" t="s">
        <v>22</v>
      </c>
      <c r="F88" s="7" t="s">
        <v>159</v>
      </c>
      <c r="G88" s="9">
        <v>530</v>
      </c>
      <c r="H88" s="7" t="s">
        <v>15</v>
      </c>
      <c r="I88" s="7" t="s">
        <v>47</v>
      </c>
    </row>
    <row r="89" spans="1:9" x14ac:dyDescent="0.25">
      <c r="A89" s="4">
        <v>85</v>
      </c>
      <c r="B89" s="4" t="s">
        <v>160</v>
      </c>
      <c r="C89" s="4" t="s">
        <v>158</v>
      </c>
      <c r="D89" s="10" t="s">
        <v>28</v>
      </c>
      <c r="E89" s="4" t="s">
        <v>138</v>
      </c>
      <c r="F89" s="4" t="s">
        <v>161</v>
      </c>
      <c r="G89" s="4" t="s">
        <v>15</v>
      </c>
      <c r="H89" s="6">
        <v>200</v>
      </c>
      <c r="I89" s="4" t="s">
        <v>16</v>
      </c>
    </row>
    <row r="90" spans="1:9" x14ac:dyDescent="0.25">
      <c r="A90" s="7">
        <v>86</v>
      </c>
      <c r="B90" s="7" t="s">
        <v>162</v>
      </c>
      <c r="C90" s="7" t="s">
        <v>158</v>
      </c>
      <c r="D90" s="11" t="s">
        <v>28</v>
      </c>
      <c r="E90" s="7" t="s">
        <v>138</v>
      </c>
      <c r="F90" s="7" t="s">
        <v>161</v>
      </c>
      <c r="G90" s="7" t="s">
        <v>15</v>
      </c>
      <c r="H90" s="9">
        <v>200</v>
      </c>
      <c r="I90" s="7" t="s">
        <v>16</v>
      </c>
    </row>
    <row r="91" spans="1:9" x14ac:dyDescent="0.25">
      <c r="A91" s="4">
        <v>87</v>
      </c>
      <c r="B91" s="4" t="s">
        <v>163</v>
      </c>
      <c r="C91" s="4" t="s">
        <v>158</v>
      </c>
      <c r="D91" s="10" t="s">
        <v>28</v>
      </c>
      <c r="E91" s="4" t="s">
        <v>138</v>
      </c>
      <c r="F91" s="4" t="s">
        <v>164</v>
      </c>
      <c r="G91" s="4" t="s">
        <v>15</v>
      </c>
      <c r="H91" s="6">
        <v>3500</v>
      </c>
      <c r="I91" s="4" t="s">
        <v>16</v>
      </c>
    </row>
    <row r="92" spans="1:9" x14ac:dyDescent="0.25">
      <c r="A92" s="7">
        <v>88</v>
      </c>
      <c r="B92" s="7" t="s">
        <v>163</v>
      </c>
      <c r="C92" s="7" t="s">
        <v>158</v>
      </c>
      <c r="D92" s="11" t="s">
        <v>28</v>
      </c>
      <c r="E92" s="7" t="s">
        <v>43</v>
      </c>
      <c r="F92" s="7" t="s">
        <v>165</v>
      </c>
      <c r="G92" s="7" t="s">
        <v>15</v>
      </c>
      <c r="H92" s="9">
        <v>20.41</v>
      </c>
      <c r="I92" s="7" t="s">
        <v>47</v>
      </c>
    </row>
    <row r="93" spans="1:9" x14ac:dyDescent="0.25">
      <c r="A93" s="4">
        <v>89</v>
      </c>
      <c r="B93" s="4" t="s">
        <v>166</v>
      </c>
      <c r="C93" s="4" t="s">
        <v>158</v>
      </c>
      <c r="D93" s="5" t="s">
        <v>12</v>
      </c>
      <c r="E93" s="4" t="s">
        <v>67</v>
      </c>
      <c r="F93" s="4" t="s">
        <v>167</v>
      </c>
      <c r="G93" s="6">
        <v>134</v>
      </c>
      <c r="H93" s="4" t="s">
        <v>15</v>
      </c>
      <c r="I93" s="4" t="s">
        <v>49</v>
      </c>
    </row>
    <row r="94" spans="1:9" x14ac:dyDescent="0.25">
      <c r="A94" s="7">
        <v>90</v>
      </c>
      <c r="B94" s="7" t="s">
        <v>168</v>
      </c>
      <c r="C94" s="7" t="s">
        <v>169</v>
      </c>
      <c r="D94" s="8" t="s">
        <v>12</v>
      </c>
      <c r="E94" s="7" t="s">
        <v>67</v>
      </c>
      <c r="F94" s="7" t="s">
        <v>170</v>
      </c>
      <c r="G94" s="9">
        <v>20</v>
      </c>
      <c r="H94" s="7" t="s">
        <v>15</v>
      </c>
      <c r="I94" s="7" t="s">
        <v>54</v>
      </c>
    </row>
    <row r="95" spans="1:9" x14ac:dyDescent="0.25">
      <c r="A95" s="4">
        <v>91</v>
      </c>
      <c r="B95" s="4" t="s">
        <v>171</v>
      </c>
      <c r="C95" s="4" t="s">
        <v>169</v>
      </c>
      <c r="D95" s="5" t="s">
        <v>12</v>
      </c>
      <c r="E95" s="4" t="s">
        <v>67</v>
      </c>
      <c r="F95" s="4" t="s">
        <v>172</v>
      </c>
      <c r="G95" s="6">
        <v>700</v>
      </c>
      <c r="H95" s="4" t="s">
        <v>15</v>
      </c>
      <c r="I95" s="4" t="s">
        <v>49</v>
      </c>
    </row>
    <row r="96" spans="1:9" x14ac:dyDescent="0.25">
      <c r="A96" s="7">
        <v>92</v>
      </c>
      <c r="B96" s="7" t="s">
        <v>171</v>
      </c>
      <c r="C96" s="7" t="s">
        <v>169</v>
      </c>
      <c r="D96" s="11" t="s">
        <v>28</v>
      </c>
      <c r="E96" s="7" t="s">
        <v>138</v>
      </c>
      <c r="F96" s="7" t="s">
        <v>164</v>
      </c>
      <c r="G96" s="7" t="s">
        <v>15</v>
      </c>
      <c r="H96" s="9">
        <v>5000</v>
      </c>
      <c r="I96" s="7" t="s">
        <v>16</v>
      </c>
    </row>
    <row r="97" spans="1:9" x14ac:dyDescent="0.25">
      <c r="A97" s="4">
        <v>93</v>
      </c>
      <c r="B97" s="4" t="s">
        <v>173</v>
      </c>
      <c r="C97" s="4" t="s">
        <v>169</v>
      </c>
      <c r="D97" s="10" t="s">
        <v>28</v>
      </c>
      <c r="E97" s="4" t="s">
        <v>29</v>
      </c>
      <c r="F97" s="4" t="s">
        <v>174</v>
      </c>
      <c r="G97" s="4" t="s">
        <v>15</v>
      </c>
      <c r="H97" s="6">
        <v>5000</v>
      </c>
      <c r="I97" s="4" t="s">
        <v>16</v>
      </c>
    </row>
    <row r="98" spans="1:9" x14ac:dyDescent="0.25">
      <c r="A98" s="7">
        <v>94</v>
      </c>
      <c r="B98" s="7" t="s">
        <v>175</v>
      </c>
      <c r="C98" s="7" t="s">
        <v>169</v>
      </c>
      <c r="D98" s="8" t="s">
        <v>12</v>
      </c>
      <c r="E98" s="7" t="s">
        <v>67</v>
      </c>
      <c r="F98" s="7" t="s">
        <v>176</v>
      </c>
      <c r="G98" s="9">
        <v>500</v>
      </c>
      <c r="H98" s="7" t="s">
        <v>15</v>
      </c>
      <c r="I98" s="7" t="s">
        <v>47</v>
      </c>
    </row>
    <row r="99" spans="1:9" x14ac:dyDescent="0.25">
      <c r="A99" s="4">
        <v>95</v>
      </c>
      <c r="B99" s="4" t="s">
        <v>175</v>
      </c>
      <c r="C99" s="4" t="s">
        <v>169</v>
      </c>
      <c r="D99" s="5" t="s">
        <v>12</v>
      </c>
      <c r="E99" s="4" t="s">
        <v>67</v>
      </c>
      <c r="F99" s="4" t="s">
        <v>177</v>
      </c>
      <c r="G99" s="6">
        <v>600</v>
      </c>
      <c r="H99" s="4" t="s">
        <v>15</v>
      </c>
      <c r="I99" s="4" t="s">
        <v>52</v>
      </c>
    </row>
    <row r="100" spans="1:9" x14ac:dyDescent="0.25">
      <c r="A100" s="7">
        <v>96</v>
      </c>
      <c r="B100" s="7" t="s">
        <v>178</v>
      </c>
      <c r="C100" s="7" t="s">
        <v>169</v>
      </c>
      <c r="D100" s="11" t="s">
        <v>28</v>
      </c>
      <c r="E100" s="7" t="s">
        <v>119</v>
      </c>
      <c r="F100" s="7" t="s">
        <v>179</v>
      </c>
      <c r="G100" s="7" t="s">
        <v>15</v>
      </c>
      <c r="H100" s="9">
        <v>60</v>
      </c>
      <c r="I100" s="7" t="s">
        <v>16</v>
      </c>
    </row>
    <row r="101" spans="1:9" x14ac:dyDescent="0.25">
      <c r="A101" s="4">
        <v>97</v>
      </c>
      <c r="B101" s="4" t="s">
        <v>180</v>
      </c>
      <c r="C101" s="4" t="s">
        <v>169</v>
      </c>
      <c r="D101" s="5" t="s">
        <v>12</v>
      </c>
      <c r="E101" s="4" t="s">
        <v>67</v>
      </c>
      <c r="F101" s="4" t="s">
        <v>181</v>
      </c>
      <c r="G101" s="6">
        <v>320</v>
      </c>
      <c r="H101" s="4" t="s">
        <v>15</v>
      </c>
      <c r="I101" s="4" t="s">
        <v>26</v>
      </c>
    </row>
    <row r="102" spans="1:9" x14ac:dyDescent="0.25">
      <c r="A102" s="7">
        <v>98</v>
      </c>
      <c r="B102" s="7" t="s">
        <v>182</v>
      </c>
      <c r="C102" s="7" t="s">
        <v>183</v>
      </c>
      <c r="D102" s="8" t="s">
        <v>12</v>
      </c>
      <c r="E102" s="7" t="s">
        <v>67</v>
      </c>
      <c r="F102" s="7" t="s">
        <v>110</v>
      </c>
      <c r="G102" s="9">
        <v>300</v>
      </c>
      <c r="H102" s="7" t="s">
        <v>15</v>
      </c>
      <c r="I102" s="7" t="s">
        <v>47</v>
      </c>
    </row>
    <row r="103" spans="1:9" x14ac:dyDescent="0.25">
      <c r="A103" s="4">
        <v>99</v>
      </c>
      <c r="B103" s="4" t="s">
        <v>184</v>
      </c>
      <c r="C103" s="4" t="s">
        <v>183</v>
      </c>
      <c r="D103" s="5" t="s">
        <v>12</v>
      </c>
      <c r="E103" s="4" t="s">
        <v>67</v>
      </c>
      <c r="F103" s="4" t="s">
        <v>185</v>
      </c>
      <c r="G103" s="6">
        <v>162</v>
      </c>
      <c r="H103" s="4" t="s">
        <v>15</v>
      </c>
      <c r="I103" s="4" t="s">
        <v>49</v>
      </c>
    </row>
    <row r="104" spans="1:9" x14ac:dyDescent="0.25">
      <c r="A104" s="7">
        <v>100</v>
      </c>
      <c r="B104" s="7" t="s">
        <v>186</v>
      </c>
      <c r="C104" s="7" t="s">
        <v>183</v>
      </c>
      <c r="D104" s="8" t="s">
        <v>12</v>
      </c>
      <c r="E104" s="7" t="s">
        <v>18</v>
      </c>
      <c r="F104" s="7" t="s">
        <v>187</v>
      </c>
      <c r="G104" s="9">
        <v>220</v>
      </c>
      <c r="H104" s="7" t="s">
        <v>15</v>
      </c>
      <c r="I104" s="7" t="s">
        <v>16</v>
      </c>
    </row>
    <row r="105" spans="1:9" x14ac:dyDescent="0.25">
      <c r="A105" s="4">
        <v>101</v>
      </c>
      <c r="B105" s="4" t="s">
        <v>188</v>
      </c>
      <c r="C105" s="4" t="s">
        <v>183</v>
      </c>
      <c r="D105" s="10" t="s">
        <v>28</v>
      </c>
      <c r="E105" s="4" t="s">
        <v>81</v>
      </c>
      <c r="F105" s="4" t="s">
        <v>189</v>
      </c>
      <c r="G105" s="4" t="s">
        <v>15</v>
      </c>
      <c r="H105" s="6">
        <v>138</v>
      </c>
      <c r="I105" s="4" t="s">
        <v>16</v>
      </c>
    </row>
    <row r="106" spans="1:9" x14ac:dyDescent="0.25">
      <c r="A106" s="7">
        <v>102</v>
      </c>
      <c r="B106" s="7" t="s">
        <v>190</v>
      </c>
      <c r="C106" s="7" t="s">
        <v>183</v>
      </c>
      <c r="D106" s="8" t="s">
        <v>12</v>
      </c>
      <c r="E106" s="7" t="s">
        <v>67</v>
      </c>
      <c r="F106" s="7" t="s">
        <v>181</v>
      </c>
      <c r="G106" s="9">
        <v>200</v>
      </c>
      <c r="H106" s="7" t="s">
        <v>15</v>
      </c>
      <c r="I106" s="7" t="s">
        <v>26</v>
      </c>
    </row>
    <row r="107" spans="1:9" x14ac:dyDescent="0.25">
      <c r="A107" s="4">
        <v>103</v>
      </c>
      <c r="B107" s="4" t="s">
        <v>191</v>
      </c>
      <c r="C107" s="4" t="s">
        <v>183</v>
      </c>
      <c r="D107" s="5" t="s">
        <v>12</v>
      </c>
      <c r="E107" s="4" t="s">
        <v>67</v>
      </c>
      <c r="F107" s="4" t="s">
        <v>192</v>
      </c>
      <c r="G107" s="6">
        <v>650</v>
      </c>
      <c r="H107" s="4" t="s">
        <v>15</v>
      </c>
      <c r="I107" s="4" t="s">
        <v>26</v>
      </c>
    </row>
    <row r="108" spans="1:9" x14ac:dyDescent="0.25">
      <c r="A108" s="7">
        <v>104</v>
      </c>
      <c r="B108" s="7" t="s">
        <v>193</v>
      </c>
      <c r="C108" s="7" t="s">
        <v>183</v>
      </c>
      <c r="D108" s="11" t="s">
        <v>28</v>
      </c>
      <c r="E108" s="7" t="s">
        <v>29</v>
      </c>
      <c r="F108" s="7" t="s">
        <v>194</v>
      </c>
      <c r="G108" s="7" t="s">
        <v>15</v>
      </c>
      <c r="H108" s="9">
        <v>1000</v>
      </c>
      <c r="I108" s="7" t="s">
        <v>16</v>
      </c>
    </row>
    <row r="109" spans="1:9" x14ac:dyDescent="0.25">
      <c r="A109" s="4">
        <v>105</v>
      </c>
      <c r="B109" s="4" t="s">
        <v>193</v>
      </c>
      <c r="C109" s="4" t="s">
        <v>183</v>
      </c>
      <c r="D109" s="10" t="s">
        <v>28</v>
      </c>
      <c r="E109" s="4" t="s">
        <v>75</v>
      </c>
      <c r="F109" s="4" t="s">
        <v>195</v>
      </c>
      <c r="G109" s="4" t="s">
        <v>15</v>
      </c>
      <c r="H109" s="6">
        <v>200</v>
      </c>
      <c r="I109" s="4" t="s">
        <v>16</v>
      </c>
    </row>
    <row r="110" spans="1:9" x14ac:dyDescent="0.25">
      <c r="A110" s="7">
        <v>106</v>
      </c>
      <c r="B110" s="7" t="s">
        <v>196</v>
      </c>
      <c r="C110" s="7" t="s">
        <v>183</v>
      </c>
      <c r="D110" s="8" t="s">
        <v>12</v>
      </c>
      <c r="E110" s="7" t="s">
        <v>22</v>
      </c>
      <c r="F110" s="7" t="s">
        <v>197</v>
      </c>
      <c r="G110" s="9">
        <v>241.64</v>
      </c>
      <c r="H110" s="7" t="s">
        <v>15</v>
      </c>
      <c r="I110" s="7" t="s">
        <v>116</v>
      </c>
    </row>
    <row r="111" spans="1:9" x14ac:dyDescent="0.25">
      <c r="A111" s="4">
        <v>107</v>
      </c>
      <c r="B111" s="4" t="s">
        <v>198</v>
      </c>
      <c r="C111" s="4" t="s">
        <v>183</v>
      </c>
      <c r="D111" s="10" t="s">
        <v>28</v>
      </c>
      <c r="E111" s="4" t="s">
        <v>29</v>
      </c>
      <c r="F111" s="4" t="s">
        <v>199</v>
      </c>
      <c r="G111" s="4" t="s">
        <v>15</v>
      </c>
      <c r="H111" s="6">
        <v>383</v>
      </c>
      <c r="I111" s="4" t="s">
        <v>16</v>
      </c>
    </row>
    <row r="112" spans="1:9" x14ac:dyDescent="0.25">
      <c r="A112" s="7">
        <v>108</v>
      </c>
      <c r="B112" s="7" t="s">
        <v>200</v>
      </c>
      <c r="C112" s="7" t="s">
        <v>183</v>
      </c>
      <c r="D112" s="11" t="s">
        <v>28</v>
      </c>
      <c r="E112" s="7" t="s">
        <v>119</v>
      </c>
      <c r="F112" s="7" t="s">
        <v>201</v>
      </c>
      <c r="G112" s="7" t="s">
        <v>15</v>
      </c>
      <c r="H112" s="9">
        <v>30</v>
      </c>
      <c r="I112" s="7" t="s">
        <v>49</v>
      </c>
    </row>
    <row r="113" spans="1:9" x14ac:dyDescent="0.25">
      <c r="A113" s="4">
        <v>109</v>
      </c>
      <c r="B113" s="4" t="s">
        <v>202</v>
      </c>
      <c r="C113" s="4" t="s">
        <v>203</v>
      </c>
      <c r="D113" s="10" t="s">
        <v>28</v>
      </c>
      <c r="E113" s="4" t="s">
        <v>43</v>
      </c>
      <c r="F113" s="4" t="s">
        <v>204</v>
      </c>
      <c r="G113" s="4" t="s">
        <v>15</v>
      </c>
      <c r="H113" s="6">
        <v>31.49</v>
      </c>
      <c r="I113" s="4" t="s">
        <v>26</v>
      </c>
    </row>
    <row r="114" spans="1:9" x14ac:dyDescent="0.25">
      <c r="A114" s="7">
        <v>110</v>
      </c>
      <c r="B114" s="7" t="s">
        <v>205</v>
      </c>
      <c r="C114" s="7" t="s">
        <v>203</v>
      </c>
      <c r="D114" s="11" t="s">
        <v>28</v>
      </c>
      <c r="E114" s="7" t="s">
        <v>138</v>
      </c>
      <c r="F114" s="7" t="s">
        <v>206</v>
      </c>
      <c r="G114" s="7" t="s">
        <v>15</v>
      </c>
      <c r="H114" s="9">
        <v>1400</v>
      </c>
      <c r="I114" s="7" t="s">
        <v>16</v>
      </c>
    </row>
    <row r="115" spans="1:9" x14ac:dyDescent="0.25">
      <c r="A115" s="4">
        <v>111</v>
      </c>
      <c r="B115" s="4" t="s">
        <v>207</v>
      </c>
      <c r="C115" s="4" t="s">
        <v>203</v>
      </c>
      <c r="D115" s="5" t="s">
        <v>12</v>
      </c>
      <c r="E115" s="4" t="s">
        <v>67</v>
      </c>
      <c r="F115" s="4" t="s">
        <v>167</v>
      </c>
      <c r="G115" s="6">
        <v>390</v>
      </c>
      <c r="H115" s="4" t="s">
        <v>15</v>
      </c>
      <c r="I115" s="4" t="s">
        <v>49</v>
      </c>
    </row>
    <row r="116" spans="1:9" x14ac:dyDescent="0.25">
      <c r="A116" s="7">
        <v>112</v>
      </c>
      <c r="B116" s="7" t="s">
        <v>208</v>
      </c>
      <c r="C116" s="7" t="s">
        <v>203</v>
      </c>
      <c r="D116" s="8" t="s">
        <v>12</v>
      </c>
      <c r="E116" s="7" t="s">
        <v>67</v>
      </c>
      <c r="F116" s="7" t="s">
        <v>209</v>
      </c>
      <c r="G116" s="9">
        <v>1000</v>
      </c>
      <c r="H116" s="7" t="s">
        <v>15</v>
      </c>
      <c r="I116" s="7" t="s">
        <v>26</v>
      </c>
    </row>
    <row r="117" spans="1:9" x14ac:dyDescent="0.25">
      <c r="A117" s="4">
        <v>113</v>
      </c>
      <c r="B117" s="4" t="s">
        <v>208</v>
      </c>
      <c r="C117" s="4" t="s">
        <v>203</v>
      </c>
      <c r="D117" s="5" t="s">
        <v>12</v>
      </c>
      <c r="E117" s="4" t="s">
        <v>67</v>
      </c>
      <c r="F117" s="4" t="s">
        <v>210</v>
      </c>
      <c r="G117" s="6">
        <v>157</v>
      </c>
      <c r="H117" s="4" t="s">
        <v>15</v>
      </c>
      <c r="I117" s="4" t="s">
        <v>26</v>
      </c>
    </row>
    <row r="118" spans="1:9" x14ac:dyDescent="0.25">
      <c r="A118" s="7">
        <v>114</v>
      </c>
      <c r="B118" s="7" t="s">
        <v>211</v>
      </c>
      <c r="C118" s="7" t="s">
        <v>203</v>
      </c>
      <c r="D118" s="8" t="s">
        <v>12</v>
      </c>
      <c r="E118" s="7" t="s">
        <v>67</v>
      </c>
      <c r="F118" s="7" t="s">
        <v>185</v>
      </c>
      <c r="G118" s="9">
        <v>1116</v>
      </c>
      <c r="H118" s="7" t="s">
        <v>15</v>
      </c>
      <c r="I118" s="7" t="s">
        <v>49</v>
      </c>
    </row>
    <row r="119" spans="1:9" x14ac:dyDescent="0.25">
      <c r="A119" s="4">
        <v>115</v>
      </c>
      <c r="B119" s="4" t="s">
        <v>211</v>
      </c>
      <c r="C119" s="4" t="s">
        <v>203</v>
      </c>
      <c r="D119" s="10" t="s">
        <v>28</v>
      </c>
      <c r="E119" s="4" t="s">
        <v>29</v>
      </c>
      <c r="F119" s="4" t="s">
        <v>212</v>
      </c>
      <c r="G119" s="4" t="s">
        <v>15</v>
      </c>
      <c r="H119" s="6">
        <v>192</v>
      </c>
      <c r="I119" s="4" t="s">
        <v>16</v>
      </c>
    </row>
    <row r="120" spans="1:9" x14ac:dyDescent="0.25">
      <c r="A120" s="7">
        <v>116</v>
      </c>
      <c r="B120" s="7" t="s">
        <v>213</v>
      </c>
      <c r="C120" s="7" t="s">
        <v>203</v>
      </c>
      <c r="D120" s="8" t="s">
        <v>12</v>
      </c>
      <c r="E120" s="7" t="s">
        <v>67</v>
      </c>
      <c r="F120" s="7" t="s">
        <v>214</v>
      </c>
      <c r="G120" s="9">
        <v>280</v>
      </c>
      <c r="H120" s="7" t="s">
        <v>15</v>
      </c>
      <c r="I120" s="7" t="s">
        <v>54</v>
      </c>
    </row>
    <row r="121" spans="1:9" x14ac:dyDescent="0.25">
      <c r="A121" s="4">
        <v>117</v>
      </c>
      <c r="B121" s="4" t="s">
        <v>215</v>
      </c>
      <c r="C121" s="4" t="s">
        <v>203</v>
      </c>
      <c r="D121" s="5" t="s">
        <v>12</v>
      </c>
      <c r="E121" s="4" t="s">
        <v>67</v>
      </c>
      <c r="F121" s="4" t="s">
        <v>216</v>
      </c>
      <c r="G121" s="6">
        <v>67</v>
      </c>
      <c r="H121" s="4" t="s">
        <v>15</v>
      </c>
      <c r="I121" s="4" t="s">
        <v>54</v>
      </c>
    </row>
    <row r="122" spans="1:9" x14ac:dyDescent="0.25">
      <c r="A122" s="7">
        <v>118</v>
      </c>
      <c r="B122" s="7" t="s">
        <v>217</v>
      </c>
      <c r="C122" s="7" t="s">
        <v>203</v>
      </c>
      <c r="D122" s="8" t="s">
        <v>12</v>
      </c>
      <c r="E122" s="7" t="s">
        <v>67</v>
      </c>
      <c r="F122" s="7" t="s">
        <v>218</v>
      </c>
      <c r="G122" s="9">
        <v>1000</v>
      </c>
      <c r="H122" s="7" t="s">
        <v>15</v>
      </c>
      <c r="I122" s="7" t="s">
        <v>24</v>
      </c>
    </row>
    <row r="123" spans="1:9" x14ac:dyDescent="0.25">
      <c r="A123" s="4">
        <v>119</v>
      </c>
      <c r="B123" s="4" t="s">
        <v>219</v>
      </c>
      <c r="C123" s="4" t="s">
        <v>203</v>
      </c>
      <c r="D123" s="5" t="s">
        <v>12</v>
      </c>
      <c r="E123" s="4" t="s">
        <v>67</v>
      </c>
      <c r="F123" s="4" t="s">
        <v>220</v>
      </c>
      <c r="G123" s="6">
        <v>200</v>
      </c>
      <c r="H123" s="4" t="s">
        <v>15</v>
      </c>
      <c r="I123" s="4" t="s">
        <v>49</v>
      </c>
    </row>
    <row r="124" spans="1:9" x14ac:dyDescent="0.25">
      <c r="A124" s="7">
        <v>120</v>
      </c>
      <c r="B124" s="7" t="s">
        <v>221</v>
      </c>
      <c r="C124" s="7" t="s">
        <v>203</v>
      </c>
      <c r="D124" s="8" t="s">
        <v>12</v>
      </c>
      <c r="E124" s="7" t="s">
        <v>67</v>
      </c>
      <c r="F124" s="7" t="s">
        <v>222</v>
      </c>
      <c r="G124" s="9">
        <v>500</v>
      </c>
      <c r="H124" s="7" t="s">
        <v>15</v>
      </c>
      <c r="I124" s="7" t="s">
        <v>49</v>
      </c>
    </row>
    <row r="125" spans="1:9" x14ac:dyDescent="0.25">
      <c r="A125" s="4">
        <v>121</v>
      </c>
      <c r="B125" s="4" t="s">
        <v>223</v>
      </c>
      <c r="C125" s="4" t="s">
        <v>203</v>
      </c>
      <c r="D125" s="10" t="s">
        <v>28</v>
      </c>
      <c r="E125" s="4" t="s">
        <v>29</v>
      </c>
      <c r="F125" s="4" t="s">
        <v>224</v>
      </c>
      <c r="G125" s="4" t="s">
        <v>15</v>
      </c>
      <c r="H125" s="6">
        <v>812</v>
      </c>
      <c r="I125" s="4" t="s">
        <v>16</v>
      </c>
    </row>
    <row r="126" spans="1:9" x14ac:dyDescent="0.25">
      <c r="A126" s="7">
        <v>122</v>
      </c>
      <c r="B126" s="7" t="s">
        <v>225</v>
      </c>
      <c r="C126" s="7" t="s">
        <v>203</v>
      </c>
      <c r="D126" s="11" t="s">
        <v>28</v>
      </c>
      <c r="E126" s="7" t="s">
        <v>29</v>
      </c>
      <c r="F126" s="7" t="s">
        <v>226</v>
      </c>
      <c r="G126" s="7" t="s">
        <v>15</v>
      </c>
      <c r="H126" s="9">
        <v>980</v>
      </c>
      <c r="I126" s="7" t="s">
        <v>16</v>
      </c>
    </row>
    <row r="127" spans="1:9" x14ac:dyDescent="0.25">
      <c r="A127" s="4">
        <v>123</v>
      </c>
      <c r="B127" s="4" t="s">
        <v>227</v>
      </c>
      <c r="C127" s="4" t="s">
        <v>203</v>
      </c>
      <c r="D127" s="10" t="s">
        <v>28</v>
      </c>
      <c r="E127" s="4" t="s">
        <v>34</v>
      </c>
      <c r="F127" s="4" t="s">
        <v>228</v>
      </c>
      <c r="G127" s="4" t="s">
        <v>15</v>
      </c>
      <c r="H127" s="6">
        <v>140</v>
      </c>
      <c r="I127" s="4" t="s">
        <v>16</v>
      </c>
    </row>
    <row r="128" spans="1:9" x14ac:dyDescent="0.25">
      <c r="A128" s="7">
        <v>124</v>
      </c>
      <c r="B128" s="7" t="s">
        <v>229</v>
      </c>
      <c r="C128" s="7" t="s">
        <v>203</v>
      </c>
      <c r="D128" s="11" t="s">
        <v>28</v>
      </c>
      <c r="E128" s="7" t="s">
        <v>29</v>
      </c>
      <c r="F128" s="7" t="s">
        <v>230</v>
      </c>
      <c r="G128" s="7" t="s">
        <v>15</v>
      </c>
      <c r="H128" s="9">
        <v>13.6</v>
      </c>
      <c r="I128" s="7" t="s">
        <v>16</v>
      </c>
    </row>
    <row r="129" spans="1:9" x14ac:dyDescent="0.25">
      <c r="A129" s="4">
        <v>125</v>
      </c>
      <c r="B129" s="4" t="s">
        <v>231</v>
      </c>
      <c r="C129" s="4" t="s">
        <v>203</v>
      </c>
      <c r="D129" s="10" t="s">
        <v>28</v>
      </c>
      <c r="E129" s="4" t="s">
        <v>29</v>
      </c>
      <c r="F129" s="4" t="s">
        <v>232</v>
      </c>
      <c r="G129" s="4" t="s">
        <v>15</v>
      </c>
      <c r="H129" s="6">
        <v>180</v>
      </c>
      <c r="I129" s="4" t="s">
        <v>16</v>
      </c>
    </row>
    <row r="130" spans="1:9" x14ac:dyDescent="0.25">
      <c r="A130" s="7">
        <v>126</v>
      </c>
      <c r="B130" s="7" t="s">
        <v>233</v>
      </c>
      <c r="C130" s="7" t="s">
        <v>203</v>
      </c>
      <c r="D130" s="8" t="s">
        <v>12</v>
      </c>
      <c r="E130" s="7" t="s">
        <v>67</v>
      </c>
      <c r="F130" s="7" t="s">
        <v>214</v>
      </c>
      <c r="G130" s="9">
        <v>135</v>
      </c>
      <c r="H130" s="7" t="s">
        <v>15</v>
      </c>
      <c r="I130" s="7" t="s">
        <v>54</v>
      </c>
    </row>
    <row r="131" ht="26" customHeight="1" spans="1:9" x14ac:dyDescent="0.25">
      <c r="A131" s="12" t="s">
        <v>15</v>
      </c>
      <c r="B131" s="12" t="s">
        <v>15</v>
      </c>
      <c r="C131" s="12" t="s">
        <v>15</v>
      </c>
      <c r="D131" s="12" t="s">
        <v>15</v>
      </c>
      <c r="E131" s="12" t="s">
        <v>15</v>
      </c>
      <c r="F131" s="12" t="s">
        <v>234</v>
      </c>
      <c r="G131" s="13">
        <f>SUM(G5:G130)</f>
      </c>
      <c r="H131" s="13">
        <f>SUM(H5:H130)</f>
      </c>
      <c r="I131" s="12" t="s">
        <v>15</v>
      </c>
    </row>
    <row r="132" ht="26" customHeight="1" spans="1:9" x14ac:dyDescent="0.25">
      <c r="A132" s="14" t="s">
        <v>15</v>
      </c>
      <c r="B132" s="14" t="s">
        <v>15</v>
      </c>
      <c r="C132" s="14" t="s">
        <v>15</v>
      </c>
      <c r="D132" s="14" t="s">
        <v>15</v>
      </c>
      <c r="E132" s="14" t="s">
        <v>15</v>
      </c>
      <c r="F132" s="14" t="s">
        <v>235</v>
      </c>
      <c r="G132" s="15">
        <f>G131-H131</f>
      </c>
      <c r="H132" s="14" t="s">
        <v>15</v>
      </c>
      <c r="I132" s="14" t="s">
        <v>15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5A572"/>
  </sheetPr>
  <dimension ref="A1:G13"/>
  <sheetFormatPr defaultRowHeight="15" outlineLevelRow="0" outlineLevelCol="0" x14ac:dyDescent="55"/>
  <cols>
    <col min="1" max="1" width="14" customWidth="1"/>
    <col min="2" max="3" width="20" customWidth="1"/>
    <col min="4" max="4" width="18" customWidth="1"/>
    <col min="5" max="6" width="15" customWidth="1"/>
    <col min="7" max="7" width="18" customWidth="1"/>
  </cols>
  <sheetData>
    <row r="1" ht="36" customHeight="1" spans="1:7" x14ac:dyDescent="0.25">
      <c r="A1" s="1" t="s">
        <v>236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4</v>
      </c>
      <c r="B4" s="3" t="s">
        <v>237</v>
      </c>
      <c r="C4" s="3" t="s">
        <v>238</v>
      </c>
      <c r="D4" s="3" t="s">
        <v>239</v>
      </c>
      <c r="E4" s="3" t="s">
        <v>240</v>
      </c>
      <c r="F4" s="3" t="s">
        <v>241</v>
      </c>
      <c r="G4" s="3" t="s">
        <v>242</v>
      </c>
    </row>
    <row r="5" spans="1:7" x14ac:dyDescent="0.25">
      <c r="A5" s="4" t="s">
        <v>11</v>
      </c>
      <c r="B5" s="6">
        <v>9194.75</v>
      </c>
      <c r="C5" s="6">
        <v>1293.27</v>
      </c>
      <c r="D5" s="16">
        <v>7901.48</v>
      </c>
      <c r="E5" s="4">
        <v>13</v>
      </c>
      <c r="F5" s="4">
        <v>9</v>
      </c>
      <c r="G5" s="4">
        <v>22</v>
      </c>
    </row>
    <row r="6" spans="1:7" x14ac:dyDescent="0.25">
      <c r="A6" s="7" t="s">
        <v>64</v>
      </c>
      <c r="B6" s="9">
        <v>9409.32</v>
      </c>
      <c r="C6" s="9">
        <v>8300</v>
      </c>
      <c r="D6" s="17">
        <v>1109.3199999999997</v>
      </c>
      <c r="E6" s="7">
        <v>12</v>
      </c>
      <c r="F6" s="7">
        <v>3</v>
      </c>
      <c r="G6" s="7">
        <v>15</v>
      </c>
    </row>
    <row r="7" spans="1:7" x14ac:dyDescent="0.25">
      <c r="A7" s="4" t="s">
        <v>89</v>
      </c>
      <c r="B7" s="6">
        <v>22707.26</v>
      </c>
      <c r="C7" s="6">
        <v>22610.84</v>
      </c>
      <c r="D7" s="16">
        <v>96.41999999999825</v>
      </c>
      <c r="E7" s="4">
        <v>8</v>
      </c>
      <c r="F7" s="4">
        <v>13</v>
      </c>
      <c r="G7" s="4">
        <v>21</v>
      </c>
    </row>
    <row r="8" spans="1:7" x14ac:dyDescent="0.25">
      <c r="A8" s="7" t="s">
        <v>122</v>
      </c>
      <c r="B8" s="9">
        <v>2247</v>
      </c>
      <c r="C8" s="9">
        <v>1996</v>
      </c>
      <c r="D8" s="17">
        <v>251</v>
      </c>
      <c r="E8" s="7">
        <v>19</v>
      </c>
      <c r="F8" s="7">
        <v>6</v>
      </c>
      <c r="G8" s="7">
        <v>25</v>
      </c>
    </row>
    <row r="9" spans="1:7" x14ac:dyDescent="0.25">
      <c r="A9" s="4" t="s">
        <v>158</v>
      </c>
      <c r="B9" s="6">
        <v>664</v>
      </c>
      <c r="C9" s="6">
        <v>3920.41</v>
      </c>
      <c r="D9" s="18">
        <v>-3256.41</v>
      </c>
      <c r="E9" s="4">
        <v>2</v>
      </c>
      <c r="F9" s="4">
        <v>4</v>
      </c>
      <c r="G9" s="4">
        <v>6</v>
      </c>
    </row>
    <row r="10" spans="1:7" x14ac:dyDescent="0.25">
      <c r="A10" s="7" t="s">
        <v>169</v>
      </c>
      <c r="B10" s="9">
        <v>2140</v>
      </c>
      <c r="C10" s="9">
        <v>10060</v>
      </c>
      <c r="D10" s="19">
        <v>-7920</v>
      </c>
      <c r="E10" s="7">
        <v>5</v>
      </c>
      <c r="F10" s="7">
        <v>3</v>
      </c>
      <c r="G10" s="7">
        <v>8</v>
      </c>
    </row>
    <row r="11" spans="1:7" x14ac:dyDescent="0.25">
      <c r="A11" s="4" t="s">
        <v>183</v>
      </c>
      <c r="B11" s="6">
        <v>1773.6399999999999</v>
      </c>
      <c r="C11" s="6">
        <v>1751</v>
      </c>
      <c r="D11" s="16">
        <v>22.639999999999873</v>
      </c>
      <c r="E11" s="4">
        <v>6</v>
      </c>
      <c r="F11" s="4">
        <v>5</v>
      </c>
      <c r="G11" s="4">
        <v>11</v>
      </c>
    </row>
    <row r="12" spans="1:7" x14ac:dyDescent="0.25">
      <c r="A12" s="7" t="s">
        <v>203</v>
      </c>
      <c r="B12" s="9">
        <v>4845</v>
      </c>
      <c r="C12" s="9">
        <v>3749.0899999999997</v>
      </c>
      <c r="D12" s="17">
        <v>1095.9100000000003</v>
      </c>
      <c r="E12" s="7">
        <v>10</v>
      </c>
      <c r="F12" s="7">
        <v>8</v>
      </c>
      <c r="G12" s="7">
        <v>18</v>
      </c>
    </row>
    <row r="13" ht="26" customHeight="1" spans="1:7" x14ac:dyDescent="0.25">
      <c r="A13" s="12" t="s">
        <v>243</v>
      </c>
      <c r="B13" s="13">
        <f>SUM(B5:B12)</f>
      </c>
      <c r="C13" s="13">
        <f>SUM(C5:C12)</f>
      </c>
      <c r="D13" s="13">
        <f>SUM(D5:D12)</f>
      </c>
      <c r="E13" s="12">
        <f>SUM(E5:E12)</f>
      </c>
      <c r="F13" s="12">
        <f>SUM(F5:F12)</f>
      </c>
      <c r="G13" s="12">
        <f>SUM(G5:G12)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980B9"/>
  </sheetPr>
  <dimension ref="A1:G14"/>
  <sheetFormatPr defaultRowHeight="15" outlineLevelRow="0" outlineLevelCol="0" x14ac:dyDescent="55"/>
  <cols>
    <col min="1" max="1" width="18" customWidth="1"/>
    <col min="2" max="5" width="20" customWidth="1"/>
    <col min="6" max="7" width="18" customWidth="1"/>
  </cols>
  <sheetData>
    <row r="1" ht="36" customHeight="1" spans="1:7" x14ac:dyDescent="0.25">
      <c r="A1" s="1" t="s">
        <v>244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20" t="s">
        <v>0</v>
      </c>
      <c r="B4" s="20" t="s">
        <v>237</v>
      </c>
      <c r="C4" s="20" t="s">
        <v>238</v>
      </c>
      <c r="D4" s="20" t="s">
        <v>245</v>
      </c>
      <c r="E4" s="20" t="s">
        <v>246</v>
      </c>
      <c r="F4" s="20" t="s">
        <v>247</v>
      </c>
      <c r="G4" s="20" t="s">
        <v>248</v>
      </c>
    </row>
    <row r="5" spans="1:7" x14ac:dyDescent="0.25">
      <c r="A5" s="4" t="s">
        <v>20</v>
      </c>
      <c r="B5" s="6">
        <v>1365.5</v>
      </c>
      <c r="C5" s="6">
        <v>0</v>
      </c>
      <c r="D5" s="16">
        <v>1365.5</v>
      </c>
      <c r="E5" s="6">
        <v>1067</v>
      </c>
      <c r="F5" s="6">
        <v>0</v>
      </c>
      <c r="G5" s="4">
        <v>8</v>
      </c>
    </row>
    <row r="6" spans="1:7" x14ac:dyDescent="0.25">
      <c r="A6" s="7" t="s">
        <v>24</v>
      </c>
      <c r="B6" s="9">
        <v>2135.5</v>
      </c>
      <c r="C6" s="9">
        <v>0</v>
      </c>
      <c r="D6" s="17">
        <v>2135.5</v>
      </c>
      <c r="E6" s="9">
        <v>153</v>
      </c>
      <c r="F6" s="9">
        <v>800</v>
      </c>
      <c r="G6" s="7">
        <v>8</v>
      </c>
    </row>
    <row r="7" spans="1:7" x14ac:dyDescent="0.25">
      <c r="A7" s="4" t="s">
        <v>52</v>
      </c>
      <c r="B7" s="6">
        <v>835.5</v>
      </c>
      <c r="C7" s="6">
        <v>0</v>
      </c>
      <c r="D7" s="16">
        <v>835.5</v>
      </c>
      <c r="E7" s="6">
        <v>80</v>
      </c>
      <c r="F7" s="6">
        <v>0</v>
      </c>
      <c r="G7" s="4">
        <v>5</v>
      </c>
    </row>
    <row r="8" spans="1:7" x14ac:dyDescent="0.25">
      <c r="A8" s="7" t="s">
        <v>26</v>
      </c>
      <c r="B8" s="9">
        <v>2803</v>
      </c>
      <c r="C8" s="9">
        <v>281.49</v>
      </c>
      <c r="D8" s="17">
        <v>2521.51</v>
      </c>
      <c r="E8" s="9">
        <v>196</v>
      </c>
      <c r="F8" s="9">
        <v>0</v>
      </c>
      <c r="G8" s="7">
        <v>13</v>
      </c>
    </row>
    <row r="9" spans="1:7" x14ac:dyDescent="0.25">
      <c r="A9" s="4" t="s">
        <v>47</v>
      </c>
      <c r="B9" s="6">
        <v>2317</v>
      </c>
      <c r="C9" s="6">
        <v>20.41</v>
      </c>
      <c r="D9" s="16">
        <v>2296.59</v>
      </c>
      <c r="E9" s="6">
        <v>350</v>
      </c>
      <c r="F9" s="6">
        <v>953</v>
      </c>
      <c r="G9" s="4">
        <v>11</v>
      </c>
    </row>
    <row r="10" spans="1:7" x14ac:dyDescent="0.25">
      <c r="A10" s="7" t="s">
        <v>130</v>
      </c>
      <c r="B10" s="9">
        <v>87.5</v>
      </c>
      <c r="C10" s="9">
        <v>0</v>
      </c>
      <c r="D10" s="17">
        <v>87.5</v>
      </c>
      <c r="E10" s="9">
        <v>0</v>
      </c>
      <c r="F10" s="9">
        <v>0</v>
      </c>
      <c r="G10" s="7">
        <v>2</v>
      </c>
    </row>
    <row r="11" spans="1:7" x14ac:dyDescent="0.25">
      <c r="A11" s="4" t="s">
        <v>49</v>
      </c>
      <c r="B11" s="6">
        <v>4427.5</v>
      </c>
      <c r="C11" s="6">
        <v>330</v>
      </c>
      <c r="D11" s="16">
        <v>4097.5</v>
      </c>
      <c r="E11" s="6">
        <v>893</v>
      </c>
      <c r="F11" s="6">
        <v>73</v>
      </c>
      <c r="G11" s="4">
        <v>15</v>
      </c>
    </row>
    <row r="12" spans="1:7" x14ac:dyDescent="0.25">
      <c r="A12" s="7" t="s">
        <v>54</v>
      </c>
      <c r="B12" s="9">
        <v>844.5</v>
      </c>
      <c r="C12" s="9">
        <v>300</v>
      </c>
      <c r="D12" s="17">
        <v>544.5</v>
      </c>
      <c r="E12" s="9">
        <v>149</v>
      </c>
      <c r="F12" s="9">
        <v>0</v>
      </c>
      <c r="G12" s="7">
        <v>10</v>
      </c>
    </row>
    <row r="13" spans="1:7" x14ac:dyDescent="0.25">
      <c r="A13" s="4" t="s">
        <v>116</v>
      </c>
      <c r="B13" s="6">
        <v>926.58</v>
      </c>
      <c r="C13" s="6">
        <v>0</v>
      </c>
      <c r="D13" s="16">
        <v>926.58</v>
      </c>
      <c r="E13" s="6">
        <v>0</v>
      </c>
      <c r="F13" s="6">
        <v>926.58</v>
      </c>
      <c r="G13" s="4">
        <v>3</v>
      </c>
    </row>
    <row r="14" ht="26" customHeight="1" spans="1:7" x14ac:dyDescent="0.25">
      <c r="A14" s="21" t="s">
        <v>243</v>
      </c>
      <c r="B14" s="22">
        <f>SUM(B5:B13)</f>
      </c>
      <c r="C14" s="22">
        <f>SUM(C5:C13)</f>
      </c>
      <c r="D14" s="22">
        <f>SUM(D5:D13)</f>
      </c>
      <c r="E14" s="22">
        <f>SUM(E5:E13)</f>
      </c>
      <c r="F14" s="22">
        <f>SUM(F5:F13)</f>
      </c>
      <c r="G14" s="21">
        <f>SUM(G5:G13)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E23"/>
  <sheetFormatPr defaultRowHeight="15" outlineLevelRow="0" outlineLevelCol="0" x14ac:dyDescent="55"/>
  <cols>
    <col min="1" max="1" width="28" customWidth="1"/>
    <col min="2" max="2" width="20" customWidth="1"/>
    <col min="3" max="3" width="10" customWidth="1"/>
    <col min="4" max="4" width="20" customWidth="1"/>
    <col min="5" max="5" width="22" customWidth="1"/>
  </cols>
  <sheetData>
    <row r="1" ht="36" customHeight="1" spans="1:5" x14ac:dyDescent="0.25">
      <c r="A1" s="1" t="s">
        <v>249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23" t="s">
        <v>250</v>
      </c>
      <c r="B4" s="23"/>
      <c r="C4" s="23"/>
      <c r="D4" s="23"/>
      <c r="E4" s="23"/>
    </row>
    <row r="5" ht="28" customHeight="1" spans="1:5" x14ac:dyDescent="0.25">
      <c r="A5" s="24" t="s">
        <v>6</v>
      </c>
      <c r="B5" s="24" t="s">
        <v>251</v>
      </c>
      <c r="C5" s="24" t="s">
        <v>252</v>
      </c>
      <c r="D5" s="24" t="s">
        <v>253</v>
      </c>
      <c r="E5" s="24" t="s">
        <v>254</v>
      </c>
    </row>
    <row r="6" spans="1:5" x14ac:dyDescent="0.25">
      <c r="A6" s="4" t="s">
        <v>95</v>
      </c>
      <c r="B6" s="6">
        <v>19712</v>
      </c>
      <c r="C6" s="4">
        <v>4</v>
      </c>
      <c r="D6" s="25">
        <v>37.20581182262235</v>
      </c>
      <c r="E6" s="6">
        <v>4928</v>
      </c>
    </row>
    <row r="7" spans="1:5" x14ac:dyDescent="0.25">
      <c r="A7" s="7" t="s">
        <v>13</v>
      </c>
      <c r="B7" s="9">
        <v>16608.39</v>
      </c>
      <c r="C7" s="7">
        <v>3</v>
      </c>
      <c r="D7" s="26">
        <v>31.34784055482563</v>
      </c>
      <c r="E7" s="9">
        <v>5536.13</v>
      </c>
    </row>
    <row r="8" spans="1:5" x14ac:dyDescent="0.25">
      <c r="A8" s="4" t="s">
        <v>67</v>
      </c>
      <c r="B8" s="6">
        <v>9852</v>
      </c>
      <c r="C8" s="4">
        <v>41</v>
      </c>
      <c r="D8" s="25">
        <v>18.59535603066535</v>
      </c>
      <c r="E8" s="6">
        <v>240.29268292682926</v>
      </c>
    </row>
    <row r="9" spans="1:5" x14ac:dyDescent="0.25">
      <c r="A9" s="7" t="s">
        <v>18</v>
      </c>
      <c r="B9" s="9">
        <v>4056</v>
      </c>
      <c r="C9" s="7">
        <v>18</v>
      </c>
      <c r="D9" s="26">
        <v>7.655578974865882</v>
      </c>
      <c r="E9" s="9">
        <v>225.33333333333334</v>
      </c>
    </row>
    <row r="10" spans="1:5" x14ac:dyDescent="0.25">
      <c r="A10" s="4" t="s">
        <v>22</v>
      </c>
      <c r="B10" s="6">
        <v>2752.58</v>
      </c>
      <c r="C10" s="4">
        <v>9</v>
      </c>
      <c r="D10" s="25">
        <v>5.195412617020791</v>
      </c>
      <c r="E10" s="6">
        <v>305.84222222222223</v>
      </c>
    </row>
    <row r="12" ht="28" customHeight="1" spans="1:5" x14ac:dyDescent="0.25">
      <c r="A12" s="27" t="s">
        <v>255</v>
      </c>
      <c r="B12" s="27"/>
      <c r="C12" s="27"/>
      <c r="D12" s="27"/>
      <c r="E12" s="27"/>
    </row>
    <row r="13" ht="28" customHeight="1" spans="1:5" x14ac:dyDescent="0.25">
      <c r="A13" s="28" t="s">
        <v>6</v>
      </c>
      <c r="B13" s="28" t="s">
        <v>251</v>
      </c>
      <c r="C13" s="28" t="s">
        <v>252</v>
      </c>
      <c r="D13" s="28" t="s">
        <v>256</v>
      </c>
      <c r="E13" s="28" t="s">
        <v>254</v>
      </c>
    </row>
    <row r="14" spans="1:5" x14ac:dyDescent="0.25">
      <c r="A14" s="4" t="s">
        <v>29</v>
      </c>
      <c r="B14" s="6">
        <v>22005.85</v>
      </c>
      <c r="C14" s="4">
        <v>15</v>
      </c>
      <c r="D14" s="25">
        <v>40.994038629590825</v>
      </c>
      <c r="E14" s="6">
        <v>1467.0566666666666</v>
      </c>
    </row>
    <row r="15" spans="1:5" x14ac:dyDescent="0.25">
      <c r="A15" s="7" t="s">
        <v>81</v>
      </c>
      <c r="B15" s="9">
        <v>17277.59</v>
      </c>
      <c r="C15" s="7">
        <v>8</v>
      </c>
      <c r="D15" s="26">
        <v>32.18590474288575</v>
      </c>
      <c r="E15" s="9">
        <v>2159.69875</v>
      </c>
    </row>
    <row r="16" spans="1:5" x14ac:dyDescent="0.25">
      <c r="A16" s="4" t="s">
        <v>138</v>
      </c>
      <c r="B16" s="6">
        <v>10650</v>
      </c>
      <c r="C16" s="4">
        <v>6</v>
      </c>
      <c r="D16" s="25">
        <v>19.839565906572222</v>
      </c>
      <c r="E16" s="6">
        <v>1775</v>
      </c>
    </row>
    <row r="17" spans="1:5" x14ac:dyDescent="0.25">
      <c r="A17" s="7" t="s">
        <v>75</v>
      </c>
      <c r="B17" s="9">
        <v>1571</v>
      </c>
      <c r="C17" s="7">
        <v>4</v>
      </c>
      <c r="D17" s="26">
        <v>2.9265688299741752</v>
      </c>
      <c r="E17" s="9">
        <v>392.75</v>
      </c>
    </row>
    <row r="18" spans="1:5" x14ac:dyDescent="0.25">
      <c r="A18" s="4" t="s">
        <v>34</v>
      </c>
      <c r="B18" s="6">
        <v>1085</v>
      </c>
      <c r="C18" s="4">
        <v>5</v>
      </c>
      <c r="D18" s="25">
        <v>2.0212139914207383</v>
      </c>
      <c r="E18" s="6">
        <v>217</v>
      </c>
    </row>
    <row r="19" spans="1:5" x14ac:dyDescent="0.25">
      <c r="A19" s="7" t="s">
        <v>100</v>
      </c>
      <c r="B19" s="9">
        <v>400</v>
      </c>
      <c r="C19" s="7">
        <v>2</v>
      </c>
      <c r="D19" s="26">
        <v>0.7451480152703183</v>
      </c>
      <c r="E19" s="9">
        <v>200</v>
      </c>
    </row>
    <row r="20" spans="1:5" x14ac:dyDescent="0.25">
      <c r="A20" s="4" t="s">
        <v>119</v>
      </c>
      <c r="B20" s="6">
        <v>240</v>
      </c>
      <c r="C20" s="4">
        <v>3</v>
      </c>
      <c r="D20" s="25">
        <v>0.44708880916219096</v>
      </c>
      <c r="E20" s="6">
        <v>80</v>
      </c>
    </row>
    <row r="21" spans="1:5" x14ac:dyDescent="0.25">
      <c r="A21" s="7" t="s">
        <v>38</v>
      </c>
      <c r="B21" s="9">
        <v>231.73</v>
      </c>
      <c r="C21" s="7">
        <v>3</v>
      </c>
      <c r="D21" s="26">
        <v>0.43168287394647714</v>
      </c>
      <c r="E21" s="9">
        <v>77.24333333333333</v>
      </c>
    </row>
    <row r="22" spans="1:5" x14ac:dyDescent="0.25">
      <c r="A22" s="4" t="s">
        <v>43</v>
      </c>
      <c r="B22" s="6">
        <v>160.74</v>
      </c>
      <c r="C22" s="4">
        <v>3</v>
      </c>
      <c r="D22" s="25">
        <v>0.2994377299363774</v>
      </c>
      <c r="E22" s="6">
        <v>53.580000000000005</v>
      </c>
    </row>
    <row r="23" spans="1:5" x14ac:dyDescent="0.25">
      <c r="A23" s="7" t="s">
        <v>60</v>
      </c>
      <c r="B23" s="9">
        <v>58.7</v>
      </c>
      <c r="C23" s="7">
        <v>2</v>
      </c>
      <c r="D23" s="26">
        <v>0.1093504712409192</v>
      </c>
      <c r="E23" s="9">
        <v>29.35</v>
      </c>
    </row>
  </sheetData>
  <mergeCells count="4">
    <mergeCell ref="A1:E1"/>
    <mergeCell ref="A2:E2"/>
    <mergeCell ref="A4:E4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E44AD"/>
  </sheetPr>
  <dimension ref="A1:H78"/>
  <sheetFormatPr defaultRowHeight="15" outlineLevelRow="0" outlineLevelCol="0" x14ac:dyDescent="55"/>
  <cols>
    <col min="1" max="1" width="6" customWidth="1"/>
    <col min="2" max="2" width="13" customWidth="1"/>
    <col min="3" max="3" width="22" customWidth="1"/>
    <col min="4" max="4" width="12" customWidth="1"/>
    <col min="5" max="5" width="8" customWidth="1"/>
    <col min="6" max="6" width="15" customWidth="1"/>
    <col min="7" max="8" width="16" customWidth="1"/>
  </cols>
  <sheetData>
    <row r="1" ht="36" customHeight="1" spans="1:8" x14ac:dyDescent="0.25">
      <c r="A1" s="1" t="s">
        <v>257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29" t="s">
        <v>2</v>
      </c>
      <c r="B4" s="29" t="s">
        <v>3</v>
      </c>
      <c r="C4" s="29" t="s">
        <v>258</v>
      </c>
      <c r="D4" s="29" t="s">
        <v>5</v>
      </c>
      <c r="E4" s="29" t="s">
        <v>259</v>
      </c>
      <c r="F4" s="29" t="s">
        <v>260</v>
      </c>
      <c r="G4" s="29" t="s">
        <v>261</v>
      </c>
      <c r="H4" s="29" t="s">
        <v>0</v>
      </c>
    </row>
    <row r="5" spans="1:8" x14ac:dyDescent="0.25">
      <c r="A5" s="4">
        <v>1</v>
      </c>
      <c r="B5" s="4" t="s">
        <v>17</v>
      </c>
      <c r="C5" s="4" t="s">
        <v>262</v>
      </c>
      <c r="D5" s="5" t="s">
        <v>263</v>
      </c>
      <c r="E5" s="4">
        <v>10</v>
      </c>
      <c r="F5" s="6">
        <v>4</v>
      </c>
      <c r="G5" s="6">
        <v>40</v>
      </c>
      <c r="H5" s="4" t="s">
        <v>20</v>
      </c>
    </row>
    <row r="6" spans="1:8" x14ac:dyDescent="0.25">
      <c r="A6" s="7">
        <v>2</v>
      </c>
      <c r="B6" s="7" t="s">
        <v>17</v>
      </c>
      <c r="C6" s="7" t="s">
        <v>264</v>
      </c>
      <c r="D6" s="8" t="s">
        <v>263</v>
      </c>
      <c r="E6" s="7">
        <v>2</v>
      </c>
      <c r="F6" s="9">
        <v>10</v>
      </c>
      <c r="G6" s="9">
        <v>20</v>
      </c>
      <c r="H6" s="7" t="s">
        <v>20</v>
      </c>
    </row>
    <row r="7" spans="1:8" x14ac:dyDescent="0.25">
      <c r="A7" s="4">
        <v>3</v>
      </c>
      <c r="B7" s="4" t="s">
        <v>17</v>
      </c>
      <c r="C7" s="4" t="s">
        <v>265</v>
      </c>
      <c r="D7" s="5" t="s">
        <v>263</v>
      </c>
      <c r="E7" s="4">
        <v>5</v>
      </c>
      <c r="F7" s="6">
        <v>5</v>
      </c>
      <c r="G7" s="6">
        <v>25</v>
      </c>
      <c r="H7" s="4" t="s">
        <v>20</v>
      </c>
    </row>
    <row r="8" spans="1:8" x14ac:dyDescent="0.25">
      <c r="A8" s="7">
        <v>4</v>
      </c>
      <c r="B8" s="7" t="s">
        <v>17</v>
      </c>
      <c r="C8" s="7" t="s">
        <v>266</v>
      </c>
      <c r="D8" s="8" t="s">
        <v>263</v>
      </c>
      <c r="E8" s="7">
        <v>6</v>
      </c>
      <c r="F8" s="9">
        <v>8</v>
      </c>
      <c r="G8" s="9">
        <v>48</v>
      </c>
      <c r="H8" s="7" t="s">
        <v>20</v>
      </c>
    </row>
    <row r="9" spans="1:8" x14ac:dyDescent="0.25">
      <c r="A9" s="4">
        <v>5</v>
      </c>
      <c r="B9" s="4" t="s">
        <v>17</v>
      </c>
      <c r="C9" s="4" t="s">
        <v>267</v>
      </c>
      <c r="D9" s="5" t="s">
        <v>263</v>
      </c>
      <c r="E9" s="4">
        <v>1</v>
      </c>
      <c r="F9" s="6">
        <v>70</v>
      </c>
      <c r="G9" s="6">
        <v>70</v>
      </c>
      <c r="H9" s="4" t="s">
        <v>20</v>
      </c>
    </row>
    <row r="10" spans="1:8" x14ac:dyDescent="0.25">
      <c r="A10" s="7">
        <v>6</v>
      </c>
      <c r="B10" s="7" t="s">
        <v>21</v>
      </c>
      <c r="C10" s="7" t="s">
        <v>266</v>
      </c>
      <c r="D10" s="8" t="s">
        <v>263</v>
      </c>
      <c r="E10" s="7">
        <v>6</v>
      </c>
      <c r="F10" s="9">
        <v>8</v>
      </c>
      <c r="G10" s="9">
        <v>48</v>
      </c>
      <c r="H10" s="7" t="s">
        <v>26</v>
      </c>
    </row>
    <row r="11" spans="1:8" x14ac:dyDescent="0.25">
      <c r="A11" s="4">
        <v>7</v>
      </c>
      <c r="B11" s="4" t="s">
        <v>21</v>
      </c>
      <c r="C11" s="4" t="s">
        <v>268</v>
      </c>
      <c r="D11" s="5" t="s">
        <v>263</v>
      </c>
      <c r="E11" s="4">
        <v>1</v>
      </c>
      <c r="F11" s="6">
        <v>35</v>
      </c>
      <c r="G11" s="6">
        <v>35</v>
      </c>
      <c r="H11" s="4" t="s">
        <v>26</v>
      </c>
    </row>
    <row r="12" spans="1:8" x14ac:dyDescent="0.25">
      <c r="A12" s="7">
        <v>8</v>
      </c>
      <c r="B12" s="7" t="s">
        <v>27</v>
      </c>
      <c r="C12" s="7" t="s">
        <v>269</v>
      </c>
      <c r="D12" s="30" t="s">
        <v>270</v>
      </c>
      <c r="E12" s="7">
        <v>150</v>
      </c>
      <c r="F12" s="9">
        <v>1.53</v>
      </c>
      <c r="G12" s="9">
        <v>229.5</v>
      </c>
      <c r="H12" s="7" t="s">
        <v>16</v>
      </c>
    </row>
    <row r="13" spans="1:8" x14ac:dyDescent="0.25">
      <c r="A13" s="4">
        <v>9</v>
      </c>
      <c r="B13" s="4" t="s">
        <v>27</v>
      </c>
      <c r="C13" s="4" t="s">
        <v>271</v>
      </c>
      <c r="D13" s="31" t="s">
        <v>270</v>
      </c>
      <c r="E13" s="4">
        <v>50</v>
      </c>
      <c r="F13" s="6">
        <v>0.3</v>
      </c>
      <c r="G13" s="6">
        <v>15</v>
      </c>
      <c r="H13" s="4" t="s">
        <v>16</v>
      </c>
    </row>
    <row r="14" spans="1:8" x14ac:dyDescent="0.25">
      <c r="A14" s="7">
        <v>10</v>
      </c>
      <c r="B14" s="7" t="s">
        <v>27</v>
      </c>
      <c r="C14" s="7" t="s">
        <v>272</v>
      </c>
      <c r="D14" s="30" t="s">
        <v>270</v>
      </c>
      <c r="E14" s="7">
        <v>33</v>
      </c>
      <c r="F14" s="9">
        <v>5</v>
      </c>
      <c r="G14" s="9">
        <v>165</v>
      </c>
      <c r="H14" s="7" t="s">
        <v>16</v>
      </c>
    </row>
    <row r="15" spans="1:8" x14ac:dyDescent="0.25">
      <c r="A15" s="4">
        <v>11</v>
      </c>
      <c r="B15" s="4" t="s">
        <v>27</v>
      </c>
      <c r="C15" s="4" t="s">
        <v>267</v>
      </c>
      <c r="D15" s="31" t="s">
        <v>270</v>
      </c>
      <c r="E15" s="4">
        <v>10</v>
      </c>
      <c r="F15" s="6">
        <v>38</v>
      </c>
      <c r="G15" s="6">
        <v>380</v>
      </c>
      <c r="H15" s="4" t="s">
        <v>16</v>
      </c>
    </row>
    <row r="16" spans="1:8" x14ac:dyDescent="0.25">
      <c r="A16" s="7">
        <v>12</v>
      </c>
      <c r="B16" s="7" t="s">
        <v>45</v>
      </c>
      <c r="C16" s="7" t="s">
        <v>269</v>
      </c>
      <c r="D16" s="8" t="s">
        <v>263</v>
      </c>
      <c r="E16" s="7">
        <v>23</v>
      </c>
      <c r="F16" s="9">
        <v>4</v>
      </c>
      <c r="G16" s="9">
        <v>92</v>
      </c>
      <c r="H16" s="7" t="s">
        <v>47</v>
      </c>
    </row>
    <row r="17" spans="1:8" x14ac:dyDescent="0.25">
      <c r="A17" s="4">
        <v>13</v>
      </c>
      <c r="B17" s="4" t="s">
        <v>45</v>
      </c>
      <c r="C17" s="4" t="s">
        <v>269</v>
      </c>
      <c r="D17" s="5" t="s">
        <v>263</v>
      </c>
      <c r="E17" s="4">
        <v>20</v>
      </c>
      <c r="F17" s="6">
        <v>4</v>
      </c>
      <c r="G17" s="6">
        <v>80</v>
      </c>
      <c r="H17" s="4" t="s">
        <v>49</v>
      </c>
    </row>
    <row r="18" spans="1:8" x14ac:dyDescent="0.25">
      <c r="A18" s="7">
        <v>14</v>
      </c>
      <c r="B18" s="7" t="s">
        <v>45</v>
      </c>
      <c r="C18" s="7" t="s">
        <v>269</v>
      </c>
      <c r="D18" s="8" t="s">
        <v>263</v>
      </c>
      <c r="E18" s="7">
        <v>30</v>
      </c>
      <c r="F18" s="9">
        <v>3.5</v>
      </c>
      <c r="G18" s="9">
        <v>105</v>
      </c>
      <c r="H18" s="7" t="s">
        <v>24</v>
      </c>
    </row>
    <row r="19" spans="1:8" x14ac:dyDescent="0.25">
      <c r="A19" s="4">
        <v>15</v>
      </c>
      <c r="B19" s="4" t="s">
        <v>45</v>
      </c>
      <c r="C19" s="4" t="s">
        <v>269</v>
      </c>
      <c r="D19" s="5" t="s">
        <v>263</v>
      </c>
      <c r="E19" s="4">
        <v>20</v>
      </c>
      <c r="F19" s="6">
        <v>4</v>
      </c>
      <c r="G19" s="6">
        <v>80</v>
      </c>
      <c r="H19" s="4" t="s">
        <v>52</v>
      </c>
    </row>
    <row r="20" spans="1:8" x14ac:dyDescent="0.25">
      <c r="A20" s="7">
        <v>16</v>
      </c>
      <c r="B20" s="7" t="s">
        <v>45</v>
      </c>
      <c r="C20" s="7" t="s">
        <v>269</v>
      </c>
      <c r="D20" s="8" t="s">
        <v>263</v>
      </c>
      <c r="E20" s="7">
        <v>5</v>
      </c>
      <c r="F20" s="9">
        <v>4</v>
      </c>
      <c r="G20" s="9">
        <v>20</v>
      </c>
      <c r="H20" s="7" t="s">
        <v>54</v>
      </c>
    </row>
    <row r="21" spans="1:8" x14ac:dyDescent="0.25">
      <c r="A21" s="4">
        <v>17</v>
      </c>
      <c r="B21" s="4" t="s">
        <v>45</v>
      </c>
      <c r="C21" s="4" t="s">
        <v>269</v>
      </c>
      <c r="D21" s="5" t="s">
        <v>263</v>
      </c>
      <c r="E21" s="4">
        <v>31</v>
      </c>
      <c r="F21" s="6">
        <v>4</v>
      </c>
      <c r="G21" s="6">
        <v>124</v>
      </c>
      <c r="H21" s="4" t="s">
        <v>20</v>
      </c>
    </row>
    <row r="22" spans="1:8" x14ac:dyDescent="0.25">
      <c r="A22" s="7">
        <v>18</v>
      </c>
      <c r="B22" s="7" t="s">
        <v>45</v>
      </c>
      <c r="C22" s="7" t="s">
        <v>269</v>
      </c>
      <c r="D22" s="8" t="s">
        <v>263</v>
      </c>
      <c r="E22" s="7">
        <v>20</v>
      </c>
      <c r="F22" s="9">
        <v>4</v>
      </c>
      <c r="G22" s="9">
        <v>80</v>
      </c>
      <c r="H22" s="7" t="s">
        <v>26</v>
      </c>
    </row>
    <row r="23" spans="1:8" x14ac:dyDescent="0.25">
      <c r="A23" s="4">
        <v>19</v>
      </c>
      <c r="B23" s="4" t="s">
        <v>57</v>
      </c>
      <c r="C23" s="4" t="s">
        <v>268</v>
      </c>
      <c r="D23" s="5" t="s">
        <v>263</v>
      </c>
      <c r="E23" s="4">
        <v>1</v>
      </c>
      <c r="F23" s="6">
        <v>35</v>
      </c>
      <c r="G23" s="6">
        <v>35</v>
      </c>
      <c r="H23" s="4" t="s">
        <v>26</v>
      </c>
    </row>
    <row r="24" spans="1:8" x14ac:dyDescent="0.25">
      <c r="A24" s="7">
        <v>20</v>
      </c>
      <c r="B24" s="7" t="s">
        <v>66</v>
      </c>
      <c r="C24" s="7" t="s">
        <v>266</v>
      </c>
      <c r="D24" s="8" t="s">
        <v>263</v>
      </c>
      <c r="E24" s="7">
        <v>6</v>
      </c>
      <c r="F24" s="9">
        <v>8</v>
      </c>
      <c r="G24" s="9">
        <v>48</v>
      </c>
      <c r="H24" s="7" t="s">
        <v>54</v>
      </c>
    </row>
    <row r="25" spans="1:8" x14ac:dyDescent="0.25">
      <c r="A25" s="4">
        <v>21</v>
      </c>
      <c r="B25" s="4" t="s">
        <v>66</v>
      </c>
      <c r="C25" s="4" t="s">
        <v>265</v>
      </c>
      <c r="D25" s="5" t="s">
        <v>263</v>
      </c>
      <c r="E25" s="4">
        <v>5</v>
      </c>
      <c r="F25" s="6">
        <v>5</v>
      </c>
      <c r="G25" s="6">
        <v>25</v>
      </c>
      <c r="H25" s="4" t="s">
        <v>54</v>
      </c>
    </row>
    <row r="26" spans="1:8" x14ac:dyDescent="0.25">
      <c r="A26" s="7">
        <v>22</v>
      </c>
      <c r="B26" s="7" t="s">
        <v>66</v>
      </c>
      <c r="C26" s="7" t="s">
        <v>272</v>
      </c>
      <c r="D26" s="8" t="s">
        <v>263</v>
      </c>
      <c r="E26" s="7">
        <v>4</v>
      </c>
      <c r="F26" s="9">
        <v>8</v>
      </c>
      <c r="G26" s="9">
        <v>32</v>
      </c>
      <c r="H26" s="7" t="s">
        <v>54</v>
      </c>
    </row>
    <row r="27" spans="1:8" x14ac:dyDescent="0.25">
      <c r="A27" s="4">
        <v>23</v>
      </c>
      <c r="B27" s="4" t="s">
        <v>66</v>
      </c>
      <c r="C27" s="4" t="s">
        <v>262</v>
      </c>
      <c r="D27" s="5" t="s">
        <v>263</v>
      </c>
      <c r="E27" s="4">
        <v>1</v>
      </c>
      <c r="F27" s="6">
        <v>4</v>
      </c>
      <c r="G27" s="6">
        <v>4</v>
      </c>
      <c r="H27" s="4" t="s">
        <v>54</v>
      </c>
    </row>
    <row r="28" spans="1:8" x14ac:dyDescent="0.25">
      <c r="A28" s="7">
        <v>24</v>
      </c>
      <c r="B28" s="7" t="s">
        <v>66</v>
      </c>
      <c r="C28" s="7" t="s">
        <v>269</v>
      </c>
      <c r="D28" s="8" t="s">
        <v>263</v>
      </c>
      <c r="E28" s="7">
        <v>5</v>
      </c>
      <c r="F28" s="9">
        <v>4</v>
      </c>
      <c r="G28" s="9">
        <v>20</v>
      </c>
      <c r="H28" s="7" t="s">
        <v>54</v>
      </c>
    </row>
    <row r="29" spans="1:8" x14ac:dyDescent="0.25">
      <c r="A29" s="4">
        <v>25</v>
      </c>
      <c r="B29" s="4" t="s">
        <v>77</v>
      </c>
      <c r="C29" s="4" t="s">
        <v>267</v>
      </c>
      <c r="D29" s="5" t="s">
        <v>263</v>
      </c>
      <c r="E29" s="4">
        <v>3</v>
      </c>
      <c r="F29" s="6">
        <v>70</v>
      </c>
      <c r="G29" s="6">
        <v>210</v>
      </c>
      <c r="H29" s="4" t="s">
        <v>47</v>
      </c>
    </row>
    <row r="30" spans="1:8" x14ac:dyDescent="0.25">
      <c r="A30" s="7">
        <v>26</v>
      </c>
      <c r="B30" s="7" t="s">
        <v>77</v>
      </c>
      <c r="C30" s="7" t="s">
        <v>266</v>
      </c>
      <c r="D30" s="8" t="s">
        <v>263</v>
      </c>
      <c r="E30" s="7">
        <v>6</v>
      </c>
      <c r="F30" s="9">
        <v>8</v>
      </c>
      <c r="G30" s="9">
        <v>48</v>
      </c>
      <c r="H30" s="7" t="s">
        <v>47</v>
      </c>
    </row>
    <row r="31" spans="1:8" x14ac:dyDescent="0.25">
      <c r="A31" s="4">
        <v>27</v>
      </c>
      <c r="B31" s="4" t="s">
        <v>83</v>
      </c>
      <c r="C31" s="4" t="s">
        <v>266</v>
      </c>
      <c r="D31" s="5" t="s">
        <v>263</v>
      </c>
      <c r="E31" s="4">
        <v>6</v>
      </c>
      <c r="F31" s="6">
        <v>8</v>
      </c>
      <c r="G31" s="6">
        <v>48</v>
      </c>
      <c r="H31" s="4" t="s">
        <v>24</v>
      </c>
    </row>
    <row r="32" spans="1:8" x14ac:dyDescent="0.25">
      <c r="A32" s="7">
        <v>28</v>
      </c>
      <c r="B32" s="7" t="s">
        <v>85</v>
      </c>
      <c r="C32" s="7" t="s">
        <v>272</v>
      </c>
      <c r="D32" s="8" t="s">
        <v>263</v>
      </c>
      <c r="E32" s="7">
        <v>5</v>
      </c>
      <c r="F32" s="9">
        <v>8</v>
      </c>
      <c r="G32" s="9">
        <v>40</v>
      </c>
      <c r="H32" s="7" t="s">
        <v>20</v>
      </c>
    </row>
    <row r="33" spans="1:8" x14ac:dyDescent="0.25">
      <c r="A33" s="4">
        <v>29</v>
      </c>
      <c r="B33" s="4" t="s">
        <v>85</v>
      </c>
      <c r="C33" s="4" t="s">
        <v>267</v>
      </c>
      <c r="D33" s="5" t="s">
        <v>263</v>
      </c>
      <c r="E33" s="4">
        <v>2</v>
      </c>
      <c r="F33" s="6">
        <v>70</v>
      </c>
      <c r="G33" s="6">
        <v>140</v>
      </c>
      <c r="H33" s="4" t="s">
        <v>20</v>
      </c>
    </row>
    <row r="34" spans="1:8" x14ac:dyDescent="0.25">
      <c r="A34" s="7">
        <v>30</v>
      </c>
      <c r="B34" s="7" t="s">
        <v>85</v>
      </c>
      <c r="C34" s="7" t="s">
        <v>268</v>
      </c>
      <c r="D34" s="8" t="s">
        <v>263</v>
      </c>
      <c r="E34" s="7">
        <v>12</v>
      </c>
      <c r="F34" s="9">
        <v>35</v>
      </c>
      <c r="G34" s="9">
        <v>420</v>
      </c>
      <c r="H34" s="7" t="s">
        <v>20</v>
      </c>
    </row>
    <row r="35" spans="1:8" x14ac:dyDescent="0.25">
      <c r="A35" s="4">
        <v>31</v>
      </c>
      <c r="B35" s="4" t="s">
        <v>91</v>
      </c>
      <c r="C35" s="4" t="s">
        <v>268</v>
      </c>
      <c r="D35" s="31" t="s">
        <v>270</v>
      </c>
      <c r="E35" s="4">
        <v>250</v>
      </c>
      <c r="F35" s="6">
        <v>32.07</v>
      </c>
      <c r="G35" s="6">
        <v>8017.5</v>
      </c>
      <c r="H35" s="4" t="s">
        <v>16</v>
      </c>
    </row>
    <row r="36" spans="1:8" x14ac:dyDescent="0.25">
      <c r="A36" s="7">
        <v>32</v>
      </c>
      <c r="B36" s="7" t="s">
        <v>109</v>
      </c>
      <c r="C36" s="7" t="s">
        <v>262</v>
      </c>
      <c r="D36" s="30" t="s">
        <v>270</v>
      </c>
      <c r="E36" s="7">
        <v>15</v>
      </c>
      <c r="F36" s="9">
        <v>2</v>
      </c>
      <c r="G36" s="9">
        <v>30</v>
      </c>
      <c r="H36" s="7" t="s">
        <v>16</v>
      </c>
    </row>
    <row r="37" spans="1:8" x14ac:dyDescent="0.25">
      <c r="A37" s="4">
        <v>33</v>
      </c>
      <c r="B37" s="4" t="s">
        <v>109</v>
      </c>
      <c r="C37" s="4" t="s">
        <v>267</v>
      </c>
      <c r="D37" s="31" t="s">
        <v>270</v>
      </c>
      <c r="E37" s="4">
        <v>10</v>
      </c>
      <c r="F37" s="6">
        <v>38</v>
      </c>
      <c r="G37" s="6">
        <v>380</v>
      </c>
      <c r="H37" s="4" t="s">
        <v>16</v>
      </c>
    </row>
    <row r="38" spans="1:8" x14ac:dyDescent="0.25">
      <c r="A38" s="7">
        <v>34</v>
      </c>
      <c r="B38" s="7" t="s">
        <v>109</v>
      </c>
      <c r="C38" s="7" t="s">
        <v>265</v>
      </c>
      <c r="D38" s="30" t="s">
        <v>270</v>
      </c>
      <c r="E38" s="7">
        <v>50</v>
      </c>
      <c r="F38" s="9">
        <v>3</v>
      </c>
      <c r="G38" s="9">
        <v>150</v>
      </c>
      <c r="H38" s="7" t="s">
        <v>16</v>
      </c>
    </row>
    <row r="39" spans="1:8" x14ac:dyDescent="0.25">
      <c r="A39" s="4">
        <v>35</v>
      </c>
      <c r="B39" s="4" t="s">
        <v>109</v>
      </c>
      <c r="C39" s="4" t="s">
        <v>272</v>
      </c>
      <c r="D39" s="31" t="s">
        <v>270</v>
      </c>
      <c r="E39" s="4">
        <v>11</v>
      </c>
      <c r="F39" s="6">
        <v>5</v>
      </c>
      <c r="G39" s="6">
        <v>55</v>
      </c>
      <c r="H39" s="4" t="s">
        <v>16</v>
      </c>
    </row>
    <row r="40" spans="1:8" x14ac:dyDescent="0.25">
      <c r="A40" s="7">
        <v>36</v>
      </c>
      <c r="B40" s="7" t="s">
        <v>109</v>
      </c>
      <c r="C40" s="7" t="s">
        <v>267</v>
      </c>
      <c r="D40" s="8" t="s">
        <v>263</v>
      </c>
      <c r="E40" s="7">
        <v>5</v>
      </c>
      <c r="F40" s="9">
        <v>70</v>
      </c>
      <c r="G40" s="9">
        <v>350</v>
      </c>
      <c r="H40" s="7" t="s">
        <v>16</v>
      </c>
    </row>
    <row r="41" spans="1:8" x14ac:dyDescent="0.25">
      <c r="A41" s="4">
        <v>37</v>
      </c>
      <c r="B41" s="4" t="s">
        <v>109</v>
      </c>
      <c r="C41" s="4" t="s">
        <v>272</v>
      </c>
      <c r="D41" s="5" t="s">
        <v>263</v>
      </c>
      <c r="E41" s="4">
        <v>30</v>
      </c>
      <c r="F41" s="6">
        <v>8</v>
      </c>
      <c r="G41" s="6">
        <v>240</v>
      </c>
      <c r="H41" s="4" t="s">
        <v>16</v>
      </c>
    </row>
    <row r="42" spans="1:8" x14ac:dyDescent="0.25">
      <c r="A42" s="7">
        <v>38</v>
      </c>
      <c r="B42" s="7" t="s">
        <v>109</v>
      </c>
      <c r="C42" s="7" t="s">
        <v>262</v>
      </c>
      <c r="D42" s="8" t="s">
        <v>263</v>
      </c>
      <c r="E42" s="7">
        <v>13</v>
      </c>
      <c r="F42" s="9">
        <v>4</v>
      </c>
      <c r="G42" s="9">
        <v>52</v>
      </c>
      <c r="H42" s="7" t="s">
        <v>16</v>
      </c>
    </row>
    <row r="43" spans="1:8" x14ac:dyDescent="0.25">
      <c r="A43" s="4">
        <v>39</v>
      </c>
      <c r="B43" s="4" t="s">
        <v>109</v>
      </c>
      <c r="C43" s="4" t="s">
        <v>268</v>
      </c>
      <c r="D43" s="5" t="s">
        <v>263</v>
      </c>
      <c r="E43" s="4">
        <v>6</v>
      </c>
      <c r="F43" s="6">
        <v>35</v>
      </c>
      <c r="G43" s="6">
        <v>210</v>
      </c>
      <c r="H43" s="4" t="s">
        <v>16</v>
      </c>
    </row>
    <row r="44" spans="1:8" x14ac:dyDescent="0.25">
      <c r="A44" s="7">
        <v>40</v>
      </c>
      <c r="B44" s="7" t="s">
        <v>109</v>
      </c>
      <c r="C44" s="7" t="s">
        <v>271</v>
      </c>
      <c r="D44" s="8" t="s">
        <v>263</v>
      </c>
      <c r="E44" s="7">
        <v>14</v>
      </c>
      <c r="F44" s="9">
        <v>2</v>
      </c>
      <c r="G44" s="9">
        <v>28</v>
      </c>
      <c r="H44" s="7" t="s">
        <v>16</v>
      </c>
    </row>
    <row r="45" spans="1:8" x14ac:dyDescent="0.25">
      <c r="A45" s="4">
        <v>41</v>
      </c>
      <c r="B45" s="4" t="s">
        <v>109</v>
      </c>
      <c r="C45" s="4" t="s">
        <v>273</v>
      </c>
      <c r="D45" s="5" t="s">
        <v>263</v>
      </c>
      <c r="E45" s="4">
        <v>16</v>
      </c>
      <c r="F45" s="6">
        <v>4</v>
      </c>
      <c r="G45" s="6">
        <v>64</v>
      </c>
      <c r="H45" s="4" t="s">
        <v>16</v>
      </c>
    </row>
    <row r="46" spans="1:8" x14ac:dyDescent="0.25">
      <c r="A46" s="7">
        <v>42</v>
      </c>
      <c r="B46" s="7" t="s">
        <v>121</v>
      </c>
      <c r="C46" s="7" t="s">
        <v>266</v>
      </c>
      <c r="D46" s="8" t="s">
        <v>263</v>
      </c>
      <c r="E46" s="7">
        <v>6</v>
      </c>
      <c r="F46" s="9">
        <v>8</v>
      </c>
      <c r="G46" s="9">
        <v>48</v>
      </c>
      <c r="H46" s="7" t="s">
        <v>49</v>
      </c>
    </row>
    <row r="47" spans="1:8" x14ac:dyDescent="0.25">
      <c r="A47" s="4">
        <v>43</v>
      </c>
      <c r="B47" s="4" t="s">
        <v>121</v>
      </c>
      <c r="C47" s="4" t="s">
        <v>265</v>
      </c>
      <c r="D47" s="5" t="s">
        <v>263</v>
      </c>
      <c r="E47" s="4">
        <v>5</v>
      </c>
      <c r="F47" s="6">
        <v>5</v>
      </c>
      <c r="G47" s="6">
        <v>25</v>
      </c>
      <c r="H47" s="4" t="s">
        <v>49</v>
      </c>
    </row>
    <row r="48" spans="1:8" x14ac:dyDescent="0.25">
      <c r="A48" s="7">
        <v>44</v>
      </c>
      <c r="B48" s="7" t="s">
        <v>121</v>
      </c>
      <c r="C48" s="7" t="s">
        <v>268</v>
      </c>
      <c r="D48" s="8" t="s">
        <v>263</v>
      </c>
      <c r="E48" s="7">
        <v>20</v>
      </c>
      <c r="F48" s="9">
        <v>37</v>
      </c>
      <c r="G48" s="9">
        <v>740</v>
      </c>
      <c r="H48" s="7" t="s">
        <v>49</v>
      </c>
    </row>
    <row r="49" spans="1:8" x14ac:dyDescent="0.25">
      <c r="A49" s="4">
        <v>45</v>
      </c>
      <c r="B49" s="4" t="s">
        <v>155</v>
      </c>
      <c r="C49" s="4" t="s">
        <v>267</v>
      </c>
      <c r="D49" s="5" t="s">
        <v>263</v>
      </c>
      <c r="E49" s="4">
        <v>2</v>
      </c>
      <c r="F49" s="6">
        <v>70</v>
      </c>
      <c r="G49" s="6">
        <v>140</v>
      </c>
      <c r="H49" s="4" t="s">
        <v>20</v>
      </c>
    </row>
    <row r="50" spans="1:8" x14ac:dyDescent="0.25">
      <c r="A50" s="7">
        <v>46</v>
      </c>
      <c r="B50" s="7" t="s">
        <v>152</v>
      </c>
      <c r="C50" s="7" t="s">
        <v>269</v>
      </c>
      <c r="D50" s="30" t="s">
        <v>270</v>
      </c>
      <c r="E50" s="7">
        <v>200</v>
      </c>
      <c r="F50" s="9">
        <v>1.5</v>
      </c>
      <c r="G50" s="9">
        <v>300</v>
      </c>
      <c r="H50" s="7" t="s">
        <v>16</v>
      </c>
    </row>
    <row r="51" spans="1:8" x14ac:dyDescent="0.25">
      <c r="A51" s="4">
        <v>47</v>
      </c>
      <c r="B51" s="4" t="s">
        <v>173</v>
      </c>
      <c r="C51" s="4" t="s">
        <v>274</v>
      </c>
      <c r="D51" s="31" t="s">
        <v>270</v>
      </c>
      <c r="E51" s="4">
        <v>280</v>
      </c>
      <c r="F51" s="6">
        <v>21.43</v>
      </c>
      <c r="G51" s="6">
        <v>6000.4</v>
      </c>
      <c r="H51" s="4" t="s">
        <v>16</v>
      </c>
    </row>
    <row r="52" spans="1:8" x14ac:dyDescent="0.25">
      <c r="A52" s="7">
        <v>48</v>
      </c>
      <c r="B52" s="7" t="s">
        <v>198</v>
      </c>
      <c r="C52" s="7" t="s">
        <v>268</v>
      </c>
      <c r="D52" s="8" t="s">
        <v>263</v>
      </c>
      <c r="E52" s="7">
        <v>11</v>
      </c>
      <c r="F52" s="9">
        <v>34.82</v>
      </c>
      <c r="G52" s="9">
        <v>383.02</v>
      </c>
      <c r="H52" s="7" t="s">
        <v>16</v>
      </c>
    </row>
    <row r="53" spans="1:8" x14ac:dyDescent="0.25">
      <c r="A53" s="4">
        <v>49</v>
      </c>
      <c r="B53" s="4" t="s">
        <v>211</v>
      </c>
      <c r="C53" s="4" t="s">
        <v>267</v>
      </c>
      <c r="D53" s="31" t="s">
        <v>270</v>
      </c>
      <c r="E53" s="4">
        <v>16</v>
      </c>
      <c r="F53" s="6">
        <v>12</v>
      </c>
      <c r="G53" s="6">
        <v>192</v>
      </c>
      <c r="H53" s="4" t="s">
        <v>16</v>
      </c>
    </row>
    <row r="54" spans="1:8" x14ac:dyDescent="0.25">
      <c r="A54" s="7">
        <v>50</v>
      </c>
      <c r="B54" s="7" t="s">
        <v>211</v>
      </c>
      <c r="C54" s="7" t="s">
        <v>272</v>
      </c>
      <c r="D54" s="30" t="s">
        <v>270</v>
      </c>
      <c r="E54" s="7">
        <v>40</v>
      </c>
      <c r="F54" s="9">
        <v>5</v>
      </c>
      <c r="G54" s="9">
        <v>200</v>
      </c>
      <c r="H54" s="7" t="s">
        <v>16</v>
      </c>
    </row>
    <row r="55" spans="1:8" x14ac:dyDescent="0.25">
      <c r="A55" s="4">
        <v>51</v>
      </c>
      <c r="B55" s="4" t="s">
        <v>223</v>
      </c>
      <c r="C55" s="4" t="s">
        <v>269</v>
      </c>
      <c r="D55" s="31" t="s">
        <v>270</v>
      </c>
      <c r="E55" s="4">
        <v>250</v>
      </c>
      <c r="F55" s="6">
        <v>3.25</v>
      </c>
      <c r="G55" s="6">
        <v>812.5</v>
      </c>
      <c r="H55" s="4" t="s">
        <v>16</v>
      </c>
    </row>
    <row r="56" spans="1:8" x14ac:dyDescent="0.25">
      <c r="A56" s="7">
        <v>52</v>
      </c>
      <c r="B56" s="7" t="s">
        <v>225</v>
      </c>
      <c r="C56" s="7" t="s">
        <v>265</v>
      </c>
      <c r="D56" s="30" t="s">
        <v>270</v>
      </c>
      <c r="E56" s="7">
        <v>324</v>
      </c>
      <c r="F56" s="9">
        <v>3.02</v>
      </c>
      <c r="G56" s="9">
        <v>978.48</v>
      </c>
      <c r="H56" s="7" t="s">
        <v>16</v>
      </c>
    </row>
    <row r="57" spans="1:8" x14ac:dyDescent="0.25">
      <c r="A57" s="4">
        <v>53</v>
      </c>
      <c r="B57" s="4" t="s">
        <v>229</v>
      </c>
      <c r="C57" s="4" t="s">
        <v>264</v>
      </c>
      <c r="D57" s="31" t="s">
        <v>270</v>
      </c>
      <c r="E57" s="4">
        <v>3</v>
      </c>
      <c r="F57" s="6">
        <v>6</v>
      </c>
      <c r="G57" s="6">
        <v>18</v>
      </c>
      <c r="H57" s="4" t="s">
        <v>16</v>
      </c>
    </row>
    <row r="58" spans="1:8" x14ac:dyDescent="0.25">
      <c r="A58" s="7">
        <v>54</v>
      </c>
      <c r="B58" s="7" t="s">
        <v>229</v>
      </c>
      <c r="C58" s="7" t="s">
        <v>272</v>
      </c>
      <c r="D58" s="30" t="s">
        <v>270</v>
      </c>
      <c r="E58" s="7">
        <v>9</v>
      </c>
      <c r="F58" s="9">
        <v>1.51</v>
      </c>
      <c r="G58" s="9">
        <v>13.59</v>
      </c>
      <c r="H58" s="7" t="s">
        <v>16</v>
      </c>
    </row>
    <row r="59" spans="1:8" x14ac:dyDescent="0.25">
      <c r="A59" s="4">
        <v>55</v>
      </c>
      <c r="B59" s="4" t="s">
        <v>229</v>
      </c>
      <c r="C59" s="4" t="s">
        <v>273</v>
      </c>
      <c r="D59" s="31" t="s">
        <v>270</v>
      </c>
      <c r="E59" s="4">
        <v>150</v>
      </c>
      <c r="F59" s="6">
        <v>2</v>
      </c>
      <c r="G59" s="6">
        <v>300</v>
      </c>
      <c r="H59" s="4" t="s">
        <v>16</v>
      </c>
    </row>
    <row r="60" spans="1:8" x14ac:dyDescent="0.25">
      <c r="A60" s="7">
        <v>56</v>
      </c>
      <c r="B60" s="7" t="s">
        <v>229</v>
      </c>
      <c r="C60" s="7" t="s">
        <v>262</v>
      </c>
      <c r="D60" s="30" t="s">
        <v>270</v>
      </c>
      <c r="E60" s="7">
        <v>35</v>
      </c>
      <c r="F60" s="9">
        <v>2</v>
      </c>
      <c r="G60" s="9">
        <v>70</v>
      </c>
      <c r="H60" s="7" t="s">
        <v>16</v>
      </c>
    </row>
    <row r="61" spans="1:8" x14ac:dyDescent="0.25">
      <c r="A61" s="4">
        <v>57</v>
      </c>
      <c r="B61" s="4" t="s">
        <v>229</v>
      </c>
      <c r="C61" s="4" t="s">
        <v>275</v>
      </c>
      <c r="D61" s="31" t="s">
        <v>270</v>
      </c>
      <c r="E61" s="4">
        <v>10</v>
      </c>
      <c r="F61" s="6">
        <v>1.36</v>
      </c>
      <c r="G61" s="6">
        <v>13.600000000000001</v>
      </c>
      <c r="H61" s="4" t="s">
        <v>16</v>
      </c>
    </row>
    <row r="62" spans="1:8" x14ac:dyDescent="0.25">
      <c r="A62" s="7">
        <v>58</v>
      </c>
      <c r="B62" s="7" t="s">
        <v>231</v>
      </c>
      <c r="C62" s="7" t="s">
        <v>276</v>
      </c>
      <c r="D62" s="30" t="s">
        <v>270</v>
      </c>
      <c r="E62" s="7">
        <v>70</v>
      </c>
      <c r="F62" s="9">
        <v>2.57</v>
      </c>
      <c r="G62" s="9">
        <v>179.89999999999998</v>
      </c>
      <c r="H62" s="7" t="s">
        <v>16</v>
      </c>
    </row>
    <row r="64" ht="28" customHeight="1" spans="1:8" x14ac:dyDescent="0.25">
      <c r="A64" s="32" t="s">
        <v>277</v>
      </c>
      <c r="B64" s="32"/>
      <c r="C64" s="32"/>
      <c r="D64" s="32"/>
      <c r="E64" s="32"/>
      <c r="F64" s="32"/>
      <c r="G64" s="32"/>
      <c r="H64" s="32"/>
    </row>
    <row r="65" ht="28" customHeight="1" spans="1:8" x14ac:dyDescent="0.25">
      <c r="A65" s="29" t="s">
        <v>15</v>
      </c>
      <c r="B65" s="29" t="s">
        <v>15</v>
      </c>
      <c r="C65" s="29" t="s">
        <v>258</v>
      </c>
      <c r="D65" s="29" t="s">
        <v>278</v>
      </c>
      <c r="E65" s="29" t="s">
        <v>279</v>
      </c>
      <c r="F65" s="29" t="s">
        <v>280</v>
      </c>
      <c r="G65" s="29" t="s">
        <v>281</v>
      </c>
      <c r="H65" s="29" t="s">
        <v>282</v>
      </c>
    </row>
    <row r="66" spans="1:8" x14ac:dyDescent="0.25">
      <c r="A66" s="4" t="s">
        <v>15</v>
      </c>
      <c r="B66" s="4" t="s">
        <v>15</v>
      </c>
      <c r="C66" s="4" t="s">
        <v>262</v>
      </c>
      <c r="D66" s="4">
        <v>50</v>
      </c>
      <c r="E66" s="4">
        <v>24</v>
      </c>
      <c r="F66" s="4">
        <v>26</v>
      </c>
      <c r="G66" s="6">
        <v>100</v>
      </c>
      <c r="H66" s="6">
        <v>96</v>
      </c>
    </row>
    <row r="67" spans="1:8" x14ac:dyDescent="0.25">
      <c r="A67" s="7" t="s">
        <v>15</v>
      </c>
      <c r="B67" s="7" t="s">
        <v>15</v>
      </c>
      <c r="C67" s="7" t="s">
        <v>264</v>
      </c>
      <c r="D67" s="7">
        <v>3</v>
      </c>
      <c r="E67" s="7">
        <v>2</v>
      </c>
      <c r="F67" s="7">
        <v>1</v>
      </c>
      <c r="G67" s="9">
        <v>18</v>
      </c>
      <c r="H67" s="9">
        <v>20</v>
      </c>
    </row>
    <row r="68" spans="1:8" x14ac:dyDescent="0.25">
      <c r="A68" s="4" t="s">
        <v>15</v>
      </c>
      <c r="B68" s="4" t="s">
        <v>15</v>
      </c>
      <c r="C68" s="4" t="s">
        <v>265</v>
      </c>
      <c r="D68" s="4">
        <v>374</v>
      </c>
      <c r="E68" s="4">
        <v>15</v>
      </c>
      <c r="F68" s="4">
        <v>359</v>
      </c>
      <c r="G68" s="6">
        <v>1128.48</v>
      </c>
      <c r="H68" s="6">
        <v>75</v>
      </c>
    </row>
    <row r="69" spans="1:8" x14ac:dyDescent="0.25">
      <c r="A69" s="7" t="s">
        <v>15</v>
      </c>
      <c r="B69" s="7" t="s">
        <v>15</v>
      </c>
      <c r="C69" s="7" t="s">
        <v>266</v>
      </c>
      <c r="D69" s="7">
        <v>0</v>
      </c>
      <c r="E69" s="7">
        <v>36</v>
      </c>
      <c r="F69" s="7">
        <v>-36</v>
      </c>
      <c r="G69" s="9">
        <v>0</v>
      </c>
      <c r="H69" s="9">
        <v>288</v>
      </c>
    </row>
    <row r="70" spans="1:8" x14ac:dyDescent="0.25">
      <c r="A70" s="4" t="s">
        <v>15</v>
      </c>
      <c r="B70" s="4" t="s">
        <v>15</v>
      </c>
      <c r="C70" s="4" t="s">
        <v>267</v>
      </c>
      <c r="D70" s="4">
        <v>36</v>
      </c>
      <c r="E70" s="4">
        <v>13</v>
      </c>
      <c r="F70" s="4">
        <v>23</v>
      </c>
      <c r="G70" s="6">
        <v>952</v>
      </c>
      <c r="H70" s="6">
        <v>910</v>
      </c>
    </row>
    <row r="71" spans="1:8" x14ac:dyDescent="0.25">
      <c r="A71" s="7" t="s">
        <v>15</v>
      </c>
      <c r="B71" s="7" t="s">
        <v>15</v>
      </c>
      <c r="C71" s="7" t="s">
        <v>268</v>
      </c>
      <c r="D71" s="7">
        <v>250</v>
      </c>
      <c r="E71" s="7">
        <v>51</v>
      </c>
      <c r="F71" s="7">
        <v>199</v>
      </c>
      <c r="G71" s="9">
        <v>8017.5</v>
      </c>
      <c r="H71" s="9">
        <v>1823.02</v>
      </c>
    </row>
    <row r="72" spans="1:8" x14ac:dyDescent="0.25">
      <c r="A72" s="4" t="s">
        <v>15</v>
      </c>
      <c r="B72" s="4" t="s">
        <v>15</v>
      </c>
      <c r="C72" s="4" t="s">
        <v>269</v>
      </c>
      <c r="D72" s="4">
        <v>600</v>
      </c>
      <c r="E72" s="4">
        <v>154</v>
      </c>
      <c r="F72" s="4">
        <v>446</v>
      </c>
      <c r="G72" s="6">
        <v>1342</v>
      </c>
      <c r="H72" s="6">
        <v>601</v>
      </c>
    </row>
    <row r="73" spans="1:8" x14ac:dyDescent="0.25">
      <c r="A73" s="7" t="s">
        <v>15</v>
      </c>
      <c r="B73" s="7" t="s">
        <v>15</v>
      </c>
      <c r="C73" s="7" t="s">
        <v>271</v>
      </c>
      <c r="D73" s="7">
        <v>50</v>
      </c>
      <c r="E73" s="7">
        <v>14</v>
      </c>
      <c r="F73" s="7">
        <v>36</v>
      </c>
      <c r="G73" s="9">
        <v>15</v>
      </c>
      <c r="H73" s="9">
        <v>28</v>
      </c>
    </row>
    <row r="74" spans="1:8" x14ac:dyDescent="0.25">
      <c r="A74" s="4" t="s">
        <v>15</v>
      </c>
      <c r="B74" s="4" t="s">
        <v>15</v>
      </c>
      <c r="C74" s="4" t="s">
        <v>272</v>
      </c>
      <c r="D74" s="4">
        <v>93</v>
      </c>
      <c r="E74" s="4">
        <v>39</v>
      </c>
      <c r="F74" s="4">
        <v>54</v>
      </c>
      <c r="G74" s="6">
        <v>433.59</v>
      </c>
      <c r="H74" s="6">
        <v>312</v>
      </c>
    </row>
    <row r="75" spans="1:8" x14ac:dyDescent="0.25">
      <c r="A75" s="7" t="s">
        <v>15</v>
      </c>
      <c r="B75" s="7" t="s">
        <v>15</v>
      </c>
      <c r="C75" s="7" t="s">
        <v>273</v>
      </c>
      <c r="D75" s="7">
        <v>150</v>
      </c>
      <c r="E75" s="7">
        <v>16</v>
      </c>
      <c r="F75" s="7">
        <v>134</v>
      </c>
      <c r="G75" s="9">
        <v>300</v>
      </c>
      <c r="H75" s="9">
        <v>64</v>
      </c>
    </row>
    <row r="76" spans="1:8" x14ac:dyDescent="0.25">
      <c r="A76" s="4" t="s">
        <v>15</v>
      </c>
      <c r="B76" s="4" t="s">
        <v>15</v>
      </c>
      <c r="C76" s="4" t="s">
        <v>274</v>
      </c>
      <c r="D76" s="4">
        <v>280</v>
      </c>
      <c r="E76" s="4">
        <v>0</v>
      </c>
      <c r="F76" s="4">
        <v>280</v>
      </c>
      <c r="G76" s="6">
        <v>6000.4</v>
      </c>
      <c r="H76" s="6">
        <v>0</v>
      </c>
    </row>
    <row r="77" spans="1:8" x14ac:dyDescent="0.25">
      <c r="A77" s="7" t="s">
        <v>15</v>
      </c>
      <c r="B77" s="7" t="s">
        <v>15</v>
      </c>
      <c r="C77" s="7" t="s">
        <v>275</v>
      </c>
      <c r="D77" s="7">
        <v>10</v>
      </c>
      <c r="E77" s="7">
        <v>0</v>
      </c>
      <c r="F77" s="7">
        <v>10</v>
      </c>
      <c r="G77" s="9">
        <v>13.600000000000001</v>
      </c>
      <c r="H77" s="9">
        <v>0</v>
      </c>
    </row>
    <row r="78" spans="1:8" x14ac:dyDescent="0.25">
      <c r="A78" s="4" t="s">
        <v>15</v>
      </c>
      <c r="B78" s="4" t="s">
        <v>15</v>
      </c>
      <c r="C78" s="4" t="s">
        <v>276</v>
      </c>
      <c r="D78" s="4">
        <v>70</v>
      </c>
      <c r="E78" s="4">
        <v>0</v>
      </c>
      <c r="F78" s="4">
        <v>70</v>
      </c>
      <c r="G78" s="6">
        <v>179.89999999999998</v>
      </c>
      <c r="H78" s="6">
        <v>0</v>
      </c>
    </row>
  </sheetData>
  <mergeCells count="3">
    <mergeCell ref="A1:H1"/>
    <mergeCell ref="A2:H2"/>
    <mergeCell ref="A64:H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74C3C"/>
  </sheetPr>
  <dimension ref="A1:D20"/>
  <sheetFormatPr defaultRowHeight="15" outlineLevelRow="0" outlineLevelCol="0" x14ac:dyDescent="55"/>
  <cols>
    <col min="1" max="2" width="20" customWidth="1"/>
    <col min="3" max="3" width="14" customWidth="1"/>
    <col min="4" max="4" width="40" customWidth="1"/>
  </cols>
  <sheetData>
    <row r="1" ht="36" customHeight="1" spans="1:4" x14ac:dyDescent="0.25">
      <c r="A1" s="1" t="s">
        <v>283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28" t="s">
        <v>0</v>
      </c>
      <c r="B4" s="28" t="s">
        <v>284</v>
      </c>
      <c r="C4" s="28" t="s">
        <v>285</v>
      </c>
      <c r="D4" s="28" t="s">
        <v>286</v>
      </c>
    </row>
    <row r="5" spans="1:4" x14ac:dyDescent="0.25">
      <c r="A5" s="4" t="s">
        <v>20</v>
      </c>
      <c r="B5" s="6">
        <v>532</v>
      </c>
      <c r="C5" s="10" t="s">
        <v>287</v>
      </c>
      <c r="D5" s="4" t="s">
        <v>288</v>
      </c>
    </row>
    <row r="6" spans="1:4" x14ac:dyDescent="0.25">
      <c r="A6" s="7" t="s">
        <v>47</v>
      </c>
      <c r="B6" s="9">
        <v>1624</v>
      </c>
      <c r="C6" s="11" t="s">
        <v>287</v>
      </c>
      <c r="D6" s="7" t="s">
        <v>289</v>
      </c>
    </row>
    <row r="7" spans="1:4" x14ac:dyDescent="0.25">
      <c r="A7" s="4" t="s">
        <v>26</v>
      </c>
      <c r="B7" s="6">
        <v>1000</v>
      </c>
      <c r="C7" s="10" t="s">
        <v>287</v>
      </c>
      <c r="D7" s="4" t="s">
        <v>290</v>
      </c>
    </row>
    <row r="8" spans="1:4" x14ac:dyDescent="0.25">
      <c r="A8" s="7" t="s">
        <v>24</v>
      </c>
      <c r="B8" s="9">
        <v>800</v>
      </c>
      <c r="C8" s="11" t="s">
        <v>287</v>
      </c>
      <c r="D8" s="7" t="s">
        <v>291</v>
      </c>
    </row>
    <row r="9" spans="1:4" x14ac:dyDescent="0.25">
      <c r="A9" s="4" t="s">
        <v>54</v>
      </c>
      <c r="B9" s="6">
        <v>0</v>
      </c>
      <c r="C9" s="5" t="s">
        <v>292</v>
      </c>
      <c r="D9" s="4" t="s">
        <v>293</v>
      </c>
    </row>
    <row r="10" spans="1:4" x14ac:dyDescent="0.25">
      <c r="A10" s="7" t="s">
        <v>294</v>
      </c>
      <c r="B10" s="9">
        <v>0</v>
      </c>
      <c r="C10" s="8" t="s">
        <v>292</v>
      </c>
      <c r="D10" s="7" t="s">
        <v>293</v>
      </c>
    </row>
    <row r="11" spans="1:4" x14ac:dyDescent="0.25">
      <c r="A11" s="4" t="s">
        <v>52</v>
      </c>
      <c r="B11" s="6">
        <v>645</v>
      </c>
      <c r="C11" s="10" t="s">
        <v>287</v>
      </c>
      <c r="D11" s="4" t="s">
        <v>295</v>
      </c>
    </row>
    <row r="12" ht="26" customHeight="1" spans="1:4" x14ac:dyDescent="0.25">
      <c r="A12" s="33" t="s">
        <v>296</v>
      </c>
      <c r="B12" s="34">
        <f>SUM(B5:B11)</f>
      </c>
      <c r="C12" s="33" t="s">
        <v>15</v>
      </c>
      <c r="D12" s="33" t="s">
        <v>15</v>
      </c>
    </row>
    <row r="14" spans="1:4" x14ac:dyDescent="0.25">
      <c r="A14" s="35" t="s">
        <v>297</v>
      </c>
      <c r="B14" s="35"/>
      <c r="C14" s="35"/>
      <c r="D14" s="35"/>
    </row>
    <row r="15" ht="28" customHeight="1" spans="1:4" x14ac:dyDescent="0.25">
      <c r="A15" s="36" t="s">
        <v>0</v>
      </c>
      <c r="B15" s="36" t="s">
        <v>298</v>
      </c>
      <c r="C15" s="36" t="s">
        <v>15</v>
      </c>
      <c r="D15" s="36" t="s">
        <v>15</v>
      </c>
    </row>
    <row r="16" spans="1:4" x14ac:dyDescent="0.25">
      <c r="A16" s="4" t="s">
        <v>20</v>
      </c>
      <c r="B16" s="25">
        <v>11.562703760052162</v>
      </c>
      <c r="C16" s="4" t="s">
        <v>15</v>
      </c>
      <c r="D16" s="4" t="s">
        <v>15</v>
      </c>
    </row>
    <row r="17" spans="1:4" x14ac:dyDescent="0.25">
      <c r="A17" s="7" t="s">
        <v>47</v>
      </c>
      <c r="B17" s="26">
        <v>35.296674635948705</v>
      </c>
      <c r="C17" s="7" t="s">
        <v>15</v>
      </c>
      <c r="D17" s="7" t="s">
        <v>15</v>
      </c>
    </row>
    <row r="18" spans="1:4" x14ac:dyDescent="0.25">
      <c r="A18" s="4" t="s">
        <v>26</v>
      </c>
      <c r="B18" s="25">
        <v>21.734405564007826</v>
      </c>
      <c r="C18" s="4" t="s">
        <v>15</v>
      </c>
      <c r="D18" s="4" t="s">
        <v>15</v>
      </c>
    </row>
    <row r="19" spans="1:4" x14ac:dyDescent="0.25">
      <c r="A19" s="7" t="s">
        <v>24</v>
      </c>
      <c r="B19" s="26">
        <v>17.38752445120626</v>
      </c>
      <c r="C19" s="7" t="s">
        <v>15</v>
      </c>
      <c r="D19" s="7" t="s">
        <v>15</v>
      </c>
    </row>
    <row r="20" spans="1:4" x14ac:dyDescent="0.25">
      <c r="A20" s="4" t="s">
        <v>52</v>
      </c>
      <c r="B20" s="25">
        <v>14.018691588785046</v>
      </c>
      <c r="C20" s="4" t="s">
        <v>15</v>
      </c>
      <c r="D20" s="4" t="s">
        <v>15</v>
      </c>
    </row>
  </sheetData>
  <mergeCells count="3">
    <mergeCell ref="A1:D1"/>
    <mergeCell ref="A2:D2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C3E50"/>
  </sheetPr>
  <dimension ref="A1:E12"/>
  <sheetFormatPr defaultRowHeight="15" outlineLevelRow="0" outlineLevelCol="0" x14ac:dyDescent="55"/>
  <cols>
    <col min="1" max="1" width="12" customWidth="1"/>
    <col min="2" max="3" width="20" customWidth="1"/>
    <col min="4" max="5" width="18" customWidth="1"/>
  </cols>
  <sheetData>
    <row r="1" ht="36" customHeight="1" spans="1:5" x14ac:dyDescent="0.25">
      <c r="A1" s="1" t="s">
        <v>299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36" t="s">
        <v>300</v>
      </c>
      <c r="B4" s="36" t="s">
        <v>237</v>
      </c>
      <c r="C4" s="36" t="s">
        <v>238</v>
      </c>
      <c r="D4" s="36" t="s">
        <v>239</v>
      </c>
      <c r="E4" s="36" t="s">
        <v>248</v>
      </c>
    </row>
    <row r="5" spans="1:5" x14ac:dyDescent="0.25">
      <c r="A5" s="4">
        <v>2024</v>
      </c>
      <c r="B5" s="6">
        <v>43558.33</v>
      </c>
      <c r="C5" s="6">
        <v>34200.11</v>
      </c>
      <c r="D5" s="16">
        <v>9358.220000000001</v>
      </c>
      <c r="E5" s="4">
        <v>83</v>
      </c>
    </row>
    <row r="6" spans="1:5" x14ac:dyDescent="0.25">
      <c r="A6" s="7">
        <v>2025</v>
      </c>
      <c r="B6" s="9">
        <v>9422.64</v>
      </c>
      <c r="C6" s="9">
        <v>19480.5</v>
      </c>
      <c r="D6" s="19">
        <v>-10057.86</v>
      </c>
      <c r="E6" s="7">
        <v>43</v>
      </c>
    </row>
    <row r="8" spans="1:5" x14ac:dyDescent="0.25">
      <c r="A8" s="37" t="s">
        <v>301</v>
      </c>
      <c r="B8" s="37"/>
      <c r="C8" s="37"/>
      <c r="D8" s="37"/>
      <c r="E8" s="37"/>
    </row>
    <row r="9" ht="28" customHeight="1" spans="1:5" x14ac:dyDescent="0.25">
      <c r="A9" s="36" t="s">
        <v>302</v>
      </c>
      <c r="B9" s="36" t="s">
        <v>303</v>
      </c>
      <c r="C9" s="36" t="s">
        <v>304</v>
      </c>
      <c r="D9" s="36" t="s">
        <v>305</v>
      </c>
      <c r="E9" s="36" t="s">
        <v>306</v>
      </c>
    </row>
    <row r="10" spans="1:5" x14ac:dyDescent="0.25">
      <c r="A10" s="4" t="s">
        <v>307</v>
      </c>
      <c r="B10" s="6">
        <v>43558.33</v>
      </c>
      <c r="C10" s="6">
        <v>9422.64</v>
      </c>
      <c r="D10" s="18">
        <v>-34135.69</v>
      </c>
      <c r="E10" s="25">
        <v>-78.36776570635284</v>
      </c>
    </row>
    <row r="11" spans="1:5" x14ac:dyDescent="0.25">
      <c r="A11" s="7" t="s">
        <v>308</v>
      </c>
      <c r="B11" s="9">
        <v>34200.11</v>
      </c>
      <c r="C11" s="9">
        <v>19480.5</v>
      </c>
      <c r="D11" s="19">
        <v>-14719.61</v>
      </c>
      <c r="E11" s="26">
        <v>-43.039656889992465</v>
      </c>
    </row>
    <row r="12" spans="1:5" x14ac:dyDescent="0.25">
      <c r="A12" s="4" t="s">
        <v>309</v>
      </c>
      <c r="B12" s="6">
        <v>9358.220000000001</v>
      </c>
      <c r="C12" s="6">
        <v>-10057.86</v>
      </c>
      <c r="D12" s="18">
        <v>-19416.08</v>
      </c>
      <c r="E12" s="25">
        <v>-207.47620808230621</v>
      </c>
    </row>
  </sheetData>
  <mergeCells count="3">
    <mergeCell ref="A1:E1"/>
    <mergeCell ref="A2:E2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G8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50" customWidth="1"/>
    <col min="4" max="4" width="22" customWidth="1"/>
    <col min="5" max="5" width="16" customWidth="1"/>
    <col min="6" max="6" width="15" customWidth="1"/>
    <col min="7" max="7" width="18" customWidth="1"/>
  </cols>
  <sheetData>
    <row r="1" ht="36" customHeight="1" spans="1:7" x14ac:dyDescent="0.25">
      <c r="A1" s="1" t="s">
        <v>310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24" t="s">
        <v>2</v>
      </c>
      <c r="B4" s="24" t="s">
        <v>3</v>
      </c>
      <c r="C4" s="24" t="s">
        <v>311</v>
      </c>
      <c r="D4" s="24" t="s">
        <v>6</v>
      </c>
      <c r="E4" s="24" t="s">
        <v>0</v>
      </c>
      <c r="F4" s="24" t="s">
        <v>312</v>
      </c>
      <c r="G4" s="24" t="s">
        <v>313</v>
      </c>
    </row>
    <row r="5" spans="1:7" x14ac:dyDescent="0.25">
      <c r="A5" s="4">
        <v>1</v>
      </c>
      <c r="B5" s="4" t="s">
        <v>10</v>
      </c>
      <c r="C5" s="4" t="s">
        <v>14</v>
      </c>
      <c r="D5" s="4" t="s">
        <v>13</v>
      </c>
      <c r="E5" s="4" t="s">
        <v>16</v>
      </c>
      <c r="F5" s="6">
        <v>7494.75</v>
      </c>
      <c r="G5" s="6">
        <v>7494.75</v>
      </c>
    </row>
    <row r="6" spans="1:7" x14ac:dyDescent="0.25">
      <c r="A6" s="7">
        <v>2</v>
      </c>
      <c r="B6" s="7" t="s">
        <v>17</v>
      </c>
      <c r="C6" s="7" t="s">
        <v>19</v>
      </c>
      <c r="D6" s="7" t="s">
        <v>18</v>
      </c>
      <c r="E6" s="7" t="s">
        <v>20</v>
      </c>
      <c r="F6" s="9">
        <v>203</v>
      </c>
      <c r="G6" s="9">
        <v>7697.75</v>
      </c>
    </row>
    <row r="7" spans="1:7" x14ac:dyDescent="0.25">
      <c r="A7" s="4">
        <v>3</v>
      </c>
      <c r="B7" s="4" t="s">
        <v>21</v>
      </c>
      <c r="C7" s="4" t="s">
        <v>23</v>
      </c>
      <c r="D7" s="4" t="s">
        <v>22</v>
      </c>
      <c r="E7" s="4" t="s">
        <v>24</v>
      </c>
      <c r="F7" s="6">
        <v>500</v>
      </c>
      <c r="G7" s="6">
        <v>8197.75</v>
      </c>
    </row>
    <row r="8" spans="1:7" x14ac:dyDescent="0.25">
      <c r="A8" s="7">
        <v>4</v>
      </c>
      <c r="B8" s="7" t="s">
        <v>21</v>
      </c>
      <c r="C8" s="7" t="s">
        <v>25</v>
      </c>
      <c r="D8" s="7" t="s">
        <v>18</v>
      </c>
      <c r="E8" s="7" t="s">
        <v>26</v>
      </c>
      <c r="F8" s="9">
        <v>81</v>
      </c>
      <c r="G8" s="9">
        <v>8278.75</v>
      </c>
    </row>
    <row r="9" spans="1:7" x14ac:dyDescent="0.25">
      <c r="A9" s="4">
        <v>5</v>
      </c>
      <c r="B9" s="4" t="s">
        <v>45</v>
      </c>
      <c r="C9" s="4" t="s">
        <v>46</v>
      </c>
      <c r="D9" s="4" t="s">
        <v>18</v>
      </c>
      <c r="E9" s="4" t="s">
        <v>47</v>
      </c>
      <c r="F9" s="6">
        <v>92</v>
      </c>
      <c r="G9" s="6">
        <v>8370.75</v>
      </c>
    </row>
    <row r="10" spans="1:7" x14ac:dyDescent="0.25">
      <c r="A10" s="7">
        <v>6</v>
      </c>
      <c r="B10" s="7" t="s">
        <v>45</v>
      </c>
      <c r="C10" s="7" t="s">
        <v>48</v>
      </c>
      <c r="D10" s="7" t="s">
        <v>18</v>
      </c>
      <c r="E10" s="7" t="s">
        <v>49</v>
      </c>
      <c r="F10" s="9">
        <v>80</v>
      </c>
      <c r="G10" s="9">
        <v>8450.75</v>
      </c>
    </row>
    <row r="11" spans="1:7" x14ac:dyDescent="0.25">
      <c r="A11" s="4">
        <v>7</v>
      </c>
      <c r="B11" s="4" t="s">
        <v>45</v>
      </c>
      <c r="C11" s="4" t="s">
        <v>50</v>
      </c>
      <c r="D11" s="4" t="s">
        <v>18</v>
      </c>
      <c r="E11" s="4" t="s">
        <v>24</v>
      </c>
      <c r="F11" s="6">
        <v>105</v>
      </c>
      <c r="G11" s="6">
        <v>8555.75</v>
      </c>
    </row>
    <row r="12" spans="1:7" x14ac:dyDescent="0.25">
      <c r="A12" s="7">
        <v>8</v>
      </c>
      <c r="B12" s="7" t="s">
        <v>45</v>
      </c>
      <c r="C12" s="7" t="s">
        <v>51</v>
      </c>
      <c r="D12" s="7" t="s">
        <v>18</v>
      </c>
      <c r="E12" s="7" t="s">
        <v>52</v>
      </c>
      <c r="F12" s="9">
        <v>80</v>
      </c>
      <c r="G12" s="9">
        <v>8635.75</v>
      </c>
    </row>
    <row r="13" spans="1:7" x14ac:dyDescent="0.25">
      <c r="A13" s="4">
        <v>9</v>
      </c>
      <c r="B13" s="4" t="s">
        <v>45</v>
      </c>
      <c r="C13" s="4" t="s">
        <v>53</v>
      </c>
      <c r="D13" s="4" t="s">
        <v>18</v>
      </c>
      <c r="E13" s="4" t="s">
        <v>54</v>
      </c>
      <c r="F13" s="6">
        <v>20</v>
      </c>
      <c r="G13" s="6">
        <v>8655.75</v>
      </c>
    </row>
    <row r="14" spans="1:7" x14ac:dyDescent="0.25">
      <c r="A14" s="7">
        <v>10</v>
      </c>
      <c r="B14" s="7" t="s">
        <v>45</v>
      </c>
      <c r="C14" s="7" t="s">
        <v>55</v>
      </c>
      <c r="D14" s="7" t="s">
        <v>18</v>
      </c>
      <c r="E14" s="7" t="s">
        <v>20</v>
      </c>
      <c r="F14" s="9">
        <v>124</v>
      </c>
      <c r="G14" s="9">
        <v>8779.75</v>
      </c>
    </row>
    <row r="15" spans="1:7" x14ac:dyDescent="0.25">
      <c r="A15" s="4">
        <v>11</v>
      </c>
      <c r="B15" s="4" t="s">
        <v>45</v>
      </c>
      <c r="C15" s="4" t="s">
        <v>56</v>
      </c>
      <c r="D15" s="4" t="s">
        <v>18</v>
      </c>
      <c r="E15" s="4" t="s">
        <v>26</v>
      </c>
      <c r="F15" s="6">
        <v>80</v>
      </c>
      <c r="G15" s="6">
        <v>8859.75</v>
      </c>
    </row>
    <row r="16" spans="1:7" x14ac:dyDescent="0.25">
      <c r="A16" s="7">
        <v>12</v>
      </c>
      <c r="B16" s="7" t="s">
        <v>57</v>
      </c>
      <c r="C16" s="7" t="s">
        <v>58</v>
      </c>
      <c r="D16" s="7" t="s">
        <v>18</v>
      </c>
      <c r="E16" s="7" t="s">
        <v>26</v>
      </c>
      <c r="F16" s="9">
        <v>35</v>
      </c>
      <c r="G16" s="9">
        <v>8894.75</v>
      </c>
    </row>
    <row r="17" spans="1:7" x14ac:dyDescent="0.25">
      <c r="A17" s="4">
        <v>13</v>
      </c>
      <c r="B17" s="4" t="s">
        <v>59</v>
      </c>
      <c r="C17" s="4" t="s">
        <v>62</v>
      </c>
      <c r="D17" s="4" t="s">
        <v>22</v>
      </c>
      <c r="E17" s="4" t="s">
        <v>24</v>
      </c>
      <c r="F17" s="6">
        <v>300</v>
      </c>
      <c r="G17" s="6">
        <v>9194.75</v>
      </c>
    </row>
    <row r="18" spans="1:7" x14ac:dyDescent="0.25">
      <c r="A18" s="7">
        <v>14</v>
      </c>
      <c r="B18" s="7" t="s">
        <v>63</v>
      </c>
      <c r="C18" s="7" t="s">
        <v>65</v>
      </c>
      <c r="D18" s="7" t="s">
        <v>13</v>
      </c>
      <c r="E18" s="7" t="s">
        <v>16</v>
      </c>
      <c r="F18" s="9">
        <v>8052.32</v>
      </c>
      <c r="G18" s="9">
        <v>17247.07</v>
      </c>
    </row>
    <row r="19" spans="1:7" x14ac:dyDescent="0.25">
      <c r="A19" s="4">
        <v>15</v>
      </c>
      <c r="B19" s="4" t="s">
        <v>66</v>
      </c>
      <c r="C19" s="4" t="s">
        <v>68</v>
      </c>
      <c r="D19" s="4" t="s">
        <v>67</v>
      </c>
      <c r="E19" s="4" t="s">
        <v>20</v>
      </c>
      <c r="F19" s="6">
        <v>50</v>
      </c>
      <c r="G19" s="6">
        <v>17297.07</v>
      </c>
    </row>
    <row r="20" spans="1:7" x14ac:dyDescent="0.25">
      <c r="A20" s="7">
        <v>16</v>
      </c>
      <c r="B20" s="7" t="s">
        <v>66</v>
      </c>
      <c r="C20" s="7" t="s">
        <v>69</v>
      </c>
      <c r="D20" s="7" t="s">
        <v>67</v>
      </c>
      <c r="E20" s="7" t="s">
        <v>24</v>
      </c>
      <c r="F20" s="9">
        <v>50</v>
      </c>
      <c r="G20" s="9">
        <v>17347.07</v>
      </c>
    </row>
    <row r="21" spans="1:7" x14ac:dyDescent="0.25">
      <c r="A21" s="4">
        <v>17</v>
      </c>
      <c r="B21" s="4" t="s">
        <v>66</v>
      </c>
      <c r="C21" s="4" t="s">
        <v>70</v>
      </c>
      <c r="D21" s="4" t="s">
        <v>67</v>
      </c>
      <c r="E21" s="4" t="s">
        <v>26</v>
      </c>
      <c r="F21" s="6">
        <v>50</v>
      </c>
      <c r="G21" s="6">
        <v>17397.07</v>
      </c>
    </row>
    <row r="22" spans="1:7" x14ac:dyDescent="0.25">
      <c r="A22" s="7">
        <v>18</v>
      </c>
      <c r="B22" s="7" t="s">
        <v>66</v>
      </c>
      <c r="C22" s="7" t="s">
        <v>71</v>
      </c>
      <c r="D22" s="7" t="s">
        <v>67</v>
      </c>
      <c r="E22" s="7" t="s">
        <v>47</v>
      </c>
      <c r="F22" s="9">
        <v>50</v>
      </c>
      <c r="G22" s="9">
        <v>17447.07</v>
      </c>
    </row>
    <row r="23" spans="1:7" x14ac:dyDescent="0.25">
      <c r="A23" s="4">
        <v>19</v>
      </c>
      <c r="B23" s="4" t="s">
        <v>66</v>
      </c>
      <c r="C23" s="4" t="s">
        <v>72</v>
      </c>
      <c r="D23" s="4" t="s">
        <v>67</v>
      </c>
      <c r="E23" s="4" t="s">
        <v>52</v>
      </c>
      <c r="F23" s="6">
        <v>50</v>
      </c>
      <c r="G23" s="6">
        <v>17497.07</v>
      </c>
    </row>
    <row r="24" spans="1:7" x14ac:dyDescent="0.25">
      <c r="A24" s="7">
        <v>20</v>
      </c>
      <c r="B24" s="7" t="s">
        <v>66</v>
      </c>
      <c r="C24" s="7" t="s">
        <v>73</v>
      </c>
      <c r="D24" s="7" t="s">
        <v>67</v>
      </c>
      <c r="E24" s="7" t="s">
        <v>49</v>
      </c>
      <c r="F24" s="9">
        <v>50</v>
      </c>
      <c r="G24" s="9">
        <v>17547.07</v>
      </c>
    </row>
    <row r="25" spans="1:7" x14ac:dyDescent="0.25">
      <c r="A25" s="4">
        <v>21</v>
      </c>
      <c r="B25" s="4" t="s">
        <v>66</v>
      </c>
      <c r="C25" s="4" t="s">
        <v>74</v>
      </c>
      <c r="D25" s="4" t="s">
        <v>18</v>
      </c>
      <c r="E25" s="4" t="s">
        <v>54</v>
      </c>
      <c r="F25" s="6">
        <v>129</v>
      </c>
      <c r="G25" s="6">
        <v>17676.07</v>
      </c>
    </row>
    <row r="26" spans="1:7" x14ac:dyDescent="0.25">
      <c r="A26" s="7">
        <v>22</v>
      </c>
      <c r="B26" s="7" t="s">
        <v>77</v>
      </c>
      <c r="C26" s="7" t="s">
        <v>78</v>
      </c>
      <c r="D26" s="7" t="s">
        <v>18</v>
      </c>
      <c r="E26" s="7" t="s">
        <v>47</v>
      </c>
      <c r="F26" s="9">
        <v>258</v>
      </c>
      <c r="G26" s="9">
        <v>17934.07</v>
      </c>
    </row>
    <row r="27" spans="1:7" x14ac:dyDescent="0.25">
      <c r="A27" s="4">
        <v>23</v>
      </c>
      <c r="B27" s="4" t="s">
        <v>77</v>
      </c>
      <c r="C27" s="4" t="s">
        <v>79</v>
      </c>
      <c r="D27" s="4" t="s">
        <v>22</v>
      </c>
      <c r="E27" s="4" t="s">
        <v>47</v>
      </c>
      <c r="F27" s="6">
        <v>22</v>
      </c>
      <c r="G27" s="6">
        <v>17956.07</v>
      </c>
    </row>
    <row r="28" spans="1:7" x14ac:dyDescent="0.25">
      <c r="A28" s="7">
        <v>24</v>
      </c>
      <c r="B28" s="7" t="s">
        <v>83</v>
      </c>
      <c r="C28" s="7" t="s">
        <v>84</v>
      </c>
      <c r="D28" s="7" t="s">
        <v>18</v>
      </c>
      <c r="E28" s="7" t="s">
        <v>24</v>
      </c>
      <c r="F28" s="9">
        <v>48</v>
      </c>
      <c r="G28" s="9">
        <v>18004.07</v>
      </c>
    </row>
    <row r="29" spans="1:7" x14ac:dyDescent="0.25">
      <c r="A29" s="4">
        <v>25</v>
      </c>
      <c r="B29" s="4" t="s">
        <v>85</v>
      </c>
      <c r="C29" s="4" t="s">
        <v>86</v>
      </c>
      <c r="D29" s="4" t="s">
        <v>18</v>
      </c>
      <c r="E29" s="4" t="s">
        <v>20</v>
      </c>
      <c r="F29" s="6">
        <v>600</v>
      </c>
      <c r="G29" s="6">
        <v>18604.07</v>
      </c>
    </row>
    <row r="30" spans="1:7" x14ac:dyDescent="0.25">
      <c r="A30" s="7">
        <v>26</v>
      </c>
      <c r="B30" s="7" t="s">
        <v>88</v>
      </c>
      <c r="C30" s="7" t="s">
        <v>90</v>
      </c>
      <c r="D30" s="7" t="s">
        <v>13</v>
      </c>
      <c r="E30" s="7" t="s">
        <v>16</v>
      </c>
      <c r="F30" s="9">
        <v>1061.32</v>
      </c>
      <c r="G30" s="9">
        <v>19665.39</v>
      </c>
    </row>
    <row r="31" spans="1:7" x14ac:dyDescent="0.25">
      <c r="A31" s="4">
        <v>27</v>
      </c>
      <c r="B31" s="4" t="s">
        <v>94</v>
      </c>
      <c r="C31" s="4" t="s">
        <v>96</v>
      </c>
      <c r="D31" s="4" t="s">
        <v>95</v>
      </c>
      <c r="E31" s="4" t="s">
        <v>16</v>
      </c>
      <c r="F31" s="6">
        <v>19462</v>
      </c>
      <c r="G31" s="6">
        <v>39127.39</v>
      </c>
    </row>
    <row r="32" spans="1:7" x14ac:dyDescent="0.25">
      <c r="A32" s="7">
        <v>28</v>
      </c>
      <c r="B32" s="7" t="s">
        <v>107</v>
      </c>
      <c r="C32" s="7" t="s">
        <v>108</v>
      </c>
      <c r="D32" s="7" t="s">
        <v>95</v>
      </c>
      <c r="E32" s="7" t="s">
        <v>54</v>
      </c>
      <c r="F32" s="9">
        <v>100</v>
      </c>
      <c r="G32" s="9">
        <v>39227.39</v>
      </c>
    </row>
    <row r="33" spans="1:7" x14ac:dyDescent="0.25">
      <c r="A33" s="4">
        <v>29</v>
      </c>
      <c r="B33" s="4" t="s">
        <v>109</v>
      </c>
      <c r="C33" s="4" t="s">
        <v>110</v>
      </c>
      <c r="D33" s="4" t="s">
        <v>22</v>
      </c>
      <c r="E33" s="4" t="s">
        <v>47</v>
      </c>
      <c r="F33" s="6">
        <v>401</v>
      </c>
      <c r="G33" s="6">
        <v>39628.39</v>
      </c>
    </row>
    <row r="34" spans="1:7" x14ac:dyDescent="0.25">
      <c r="A34" s="7">
        <v>30</v>
      </c>
      <c r="B34" s="7" t="s">
        <v>109</v>
      </c>
      <c r="C34" s="7" t="s">
        <v>112</v>
      </c>
      <c r="D34" s="7" t="s">
        <v>18</v>
      </c>
      <c r="E34" s="7" t="s">
        <v>16</v>
      </c>
      <c r="F34" s="9">
        <v>948</v>
      </c>
      <c r="G34" s="9">
        <v>40576.39</v>
      </c>
    </row>
    <row r="35" spans="1:7" x14ac:dyDescent="0.25">
      <c r="A35" s="4">
        <v>31</v>
      </c>
      <c r="B35" s="4" t="s">
        <v>113</v>
      </c>
      <c r="C35" s="4" t="s">
        <v>114</v>
      </c>
      <c r="D35" s="4" t="s">
        <v>95</v>
      </c>
      <c r="E35" s="4" t="s">
        <v>20</v>
      </c>
      <c r="F35" s="6">
        <v>50</v>
      </c>
      <c r="G35" s="6">
        <v>40626.39</v>
      </c>
    </row>
    <row r="36" spans="1:7" x14ac:dyDescent="0.25">
      <c r="A36" s="7">
        <v>32</v>
      </c>
      <c r="B36" s="7" t="s">
        <v>113</v>
      </c>
      <c r="C36" s="7" t="s">
        <v>115</v>
      </c>
      <c r="D36" s="7" t="s">
        <v>22</v>
      </c>
      <c r="E36" s="7" t="s">
        <v>116</v>
      </c>
      <c r="F36" s="9">
        <v>401.28</v>
      </c>
      <c r="G36" s="9">
        <v>41027.67</v>
      </c>
    </row>
    <row r="37" spans="1:7" x14ac:dyDescent="0.25">
      <c r="A37" s="4">
        <v>33</v>
      </c>
      <c r="B37" s="4" t="s">
        <v>113</v>
      </c>
      <c r="C37" s="4" t="s">
        <v>117</v>
      </c>
      <c r="D37" s="4" t="s">
        <v>22</v>
      </c>
      <c r="E37" s="4" t="s">
        <v>116</v>
      </c>
      <c r="F37" s="6">
        <v>283.66</v>
      </c>
      <c r="G37" s="6">
        <v>41311.33</v>
      </c>
    </row>
    <row r="38" spans="1:7" x14ac:dyDescent="0.25">
      <c r="A38" s="7">
        <v>34</v>
      </c>
      <c r="B38" s="7" t="s">
        <v>121</v>
      </c>
      <c r="C38" s="7" t="s">
        <v>123</v>
      </c>
      <c r="D38" s="7" t="s">
        <v>95</v>
      </c>
      <c r="E38" s="7" t="s">
        <v>49</v>
      </c>
      <c r="F38" s="9">
        <v>100</v>
      </c>
      <c r="G38" s="9">
        <v>41411.33</v>
      </c>
    </row>
    <row r="39" spans="1:7" x14ac:dyDescent="0.25">
      <c r="A39" s="4">
        <v>35</v>
      </c>
      <c r="B39" s="4" t="s">
        <v>121</v>
      </c>
      <c r="C39" s="4" t="s">
        <v>124</v>
      </c>
      <c r="D39" s="4" t="s">
        <v>22</v>
      </c>
      <c r="E39" s="4" t="s">
        <v>49</v>
      </c>
      <c r="F39" s="6">
        <v>73</v>
      </c>
      <c r="G39" s="6">
        <v>41484.33</v>
      </c>
    </row>
    <row r="40" spans="1:7" x14ac:dyDescent="0.25">
      <c r="A40" s="7">
        <v>36</v>
      </c>
      <c r="B40" s="7" t="s">
        <v>121</v>
      </c>
      <c r="C40" s="7" t="s">
        <v>125</v>
      </c>
      <c r="D40" s="7" t="s">
        <v>18</v>
      </c>
      <c r="E40" s="7" t="s">
        <v>49</v>
      </c>
      <c r="F40" s="9">
        <v>813</v>
      </c>
      <c r="G40" s="9">
        <v>42297.33</v>
      </c>
    </row>
    <row r="41" spans="1:7" x14ac:dyDescent="0.25">
      <c r="A41" s="4">
        <v>37</v>
      </c>
      <c r="B41" s="4" t="s">
        <v>121</v>
      </c>
      <c r="C41" s="4" t="s">
        <v>126</v>
      </c>
      <c r="D41" s="4" t="s">
        <v>67</v>
      </c>
      <c r="E41" s="4" t="s">
        <v>54</v>
      </c>
      <c r="F41" s="6">
        <v>43.5</v>
      </c>
      <c r="G41" s="6">
        <v>42340.83</v>
      </c>
    </row>
    <row r="42" spans="1:7" x14ac:dyDescent="0.25">
      <c r="A42" s="7">
        <v>38</v>
      </c>
      <c r="B42" s="7" t="s">
        <v>121</v>
      </c>
      <c r="C42" s="7" t="s">
        <v>127</v>
      </c>
      <c r="D42" s="7" t="s">
        <v>67</v>
      </c>
      <c r="E42" s="7" t="s">
        <v>20</v>
      </c>
      <c r="F42" s="9">
        <v>148.5</v>
      </c>
      <c r="G42" s="9">
        <v>42489.33</v>
      </c>
    </row>
    <row r="43" spans="1:7" x14ac:dyDescent="0.25">
      <c r="A43" s="4">
        <v>39</v>
      </c>
      <c r="B43" s="4" t="s">
        <v>121</v>
      </c>
      <c r="C43" s="4" t="s">
        <v>128</v>
      </c>
      <c r="D43" s="4" t="s">
        <v>67</v>
      </c>
      <c r="E43" s="4" t="s">
        <v>47</v>
      </c>
      <c r="F43" s="6">
        <v>114</v>
      </c>
      <c r="G43" s="6">
        <v>42603.33</v>
      </c>
    </row>
    <row r="44" spans="1:7" x14ac:dyDescent="0.25">
      <c r="A44" s="7">
        <v>40</v>
      </c>
      <c r="B44" s="7" t="s">
        <v>121</v>
      </c>
      <c r="C44" s="7" t="s">
        <v>129</v>
      </c>
      <c r="D44" s="7" t="s">
        <v>67</v>
      </c>
      <c r="E44" s="7" t="s">
        <v>130</v>
      </c>
      <c r="F44" s="9">
        <v>37.5</v>
      </c>
      <c r="G44" s="9">
        <v>42640.83</v>
      </c>
    </row>
    <row r="45" spans="1:7" x14ac:dyDescent="0.25">
      <c r="A45" s="4">
        <v>41</v>
      </c>
      <c r="B45" s="4" t="s">
        <v>121</v>
      </c>
      <c r="C45" s="4" t="s">
        <v>131</v>
      </c>
      <c r="D45" s="4" t="s">
        <v>67</v>
      </c>
      <c r="E45" s="4" t="s">
        <v>49</v>
      </c>
      <c r="F45" s="6">
        <v>109.5</v>
      </c>
      <c r="G45" s="6">
        <v>42750.33</v>
      </c>
    </row>
    <row r="46" spans="1:7" x14ac:dyDescent="0.25">
      <c r="A46" s="7">
        <v>42</v>
      </c>
      <c r="B46" s="7" t="s">
        <v>121</v>
      </c>
      <c r="C46" s="7" t="s">
        <v>132</v>
      </c>
      <c r="D46" s="7" t="s">
        <v>67</v>
      </c>
      <c r="E46" s="7" t="s">
        <v>24</v>
      </c>
      <c r="F46" s="9">
        <v>82.5</v>
      </c>
      <c r="G46" s="9">
        <v>42832.83</v>
      </c>
    </row>
    <row r="47" spans="1:7" x14ac:dyDescent="0.25">
      <c r="A47" s="4">
        <v>43</v>
      </c>
      <c r="B47" s="4" t="s">
        <v>121</v>
      </c>
      <c r="C47" s="4" t="s">
        <v>133</v>
      </c>
      <c r="D47" s="4" t="s">
        <v>67</v>
      </c>
      <c r="E47" s="4" t="s">
        <v>52</v>
      </c>
      <c r="F47" s="6">
        <v>55.5</v>
      </c>
      <c r="G47" s="6">
        <v>42888.33</v>
      </c>
    </row>
    <row r="48" spans="1:7" x14ac:dyDescent="0.25">
      <c r="A48" s="7">
        <v>44</v>
      </c>
      <c r="B48" s="7" t="s">
        <v>121</v>
      </c>
      <c r="C48" s="7" t="s">
        <v>134</v>
      </c>
      <c r="D48" s="7" t="s">
        <v>67</v>
      </c>
      <c r="E48" s="7" t="s">
        <v>26</v>
      </c>
      <c r="F48" s="9">
        <v>180</v>
      </c>
      <c r="G48" s="9">
        <v>43068.33</v>
      </c>
    </row>
    <row r="49" spans="1:7" x14ac:dyDescent="0.25">
      <c r="A49" s="4">
        <v>45</v>
      </c>
      <c r="B49" s="4" t="s">
        <v>142</v>
      </c>
      <c r="C49" s="4" t="s">
        <v>143</v>
      </c>
      <c r="D49" s="4" t="s">
        <v>67</v>
      </c>
      <c r="E49" s="4" t="s">
        <v>26</v>
      </c>
      <c r="F49" s="6">
        <v>50</v>
      </c>
      <c r="G49" s="6">
        <v>43118.33</v>
      </c>
    </row>
    <row r="50" spans="1:7" x14ac:dyDescent="0.25">
      <c r="A50" s="7">
        <v>46</v>
      </c>
      <c r="B50" s="7" t="s">
        <v>142</v>
      </c>
      <c r="C50" s="7" t="s">
        <v>144</v>
      </c>
      <c r="D50" s="7" t="s">
        <v>67</v>
      </c>
      <c r="E50" s="7" t="s">
        <v>20</v>
      </c>
      <c r="F50" s="9">
        <v>50</v>
      </c>
      <c r="G50" s="9">
        <v>43168.33</v>
      </c>
    </row>
    <row r="51" spans="1:7" x14ac:dyDescent="0.25">
      <c r="A51" s="4">
        <v>47</v>
      </c>
      <c r="B51" s="4" t="s">
        <v>142</v>
      </c>
      <c r="C51" s="4" t="s">
        <v>145</v>
      </c>
      <c r="D51" s="4" t="s">
        <v>67</v>
      </c>
      <c r="E51" s="4" t="s">
        <v>54</v>
      </c>
      <c r="F51" s="6">
        <v>50</v>
      </c>
      <c r="G51" s="6">
        <v>43218.33</v>
      </c>
    </row>
    <row r="52" spans="1:7" x14ac:dyDescent="0.25">
      <c r="A52" s="7">
        <v>48</v>
      </c>
      <c r="B52" s="7" t="s">
        <v>142</v>
      </c>
      <c r="C52" s="7" t="s">
        <v>146</v>
      </c>
      <c r="D52" s="7" t="s">
        <v>67</v>
      </c>
      <c r="E52" s="7" t="s">
        <v>52</v>
      </c>
      <c r="F52" s="9">
        <v>50</v>
      </c>
      <c r="G52" s="9">
        <v>43268.33</v>
      </c>
    </row>
    <row r="53" spans="1:7" x14ac:dyDescent="0.25">
      <c r="A53" s="4">
        <v>49</v>
      </c>
      <c r="B53" s="4" t="s">
        <v>142</v>
      </c>
      <c r="C53" s="4" t="s">
        <v>147</v>
      </c>
      <c r="D53" s="4" t="s">
        <v>67</v>
      </c>
      <c r="E53" s="4" t="s">
        <v>47</v>
      </c>
      <c r="F53" s="6">
        <v>50</v>
      </c>
      <c r="G53" s="6">
        <v>43318.33</v>
      </c>
    </row>
    <row r="54" spans="1:7" x14ac:dyDescent="0.25">
      <c r="A54" s="7">
        <v>50</v>
      </c>
      <c r="B54" s="7" t="s">
        <v>142</v>
      </c>
      <c r="C54" s="7" t="s">
        <v>148</v>
      </c>
      <c r="D54" s="7" t="s">
        <v>67</v>
      </c>
      <c r="E54" s="7" t="s">
        <v>130</v>
      </c>
      <c r="F54" s="9">
        <v>50</v>
      </c>
      <c r="G54" s="9">
        <v>43368.33</v>
      </c>
    </row>
    <row r="55" spans="1:7" x14ac:dyDescent="0.25">
      <c r="A55" s="4">
        <v>51</v>
      </c>
      <c r="B55" s="4" t="s">
        <v>142</v>
      </c>
      <c r="C55" s="4" t="s">
        <v>149</v>
      </c>
      <c r="D55" s="4" t="s">
        <v>67</v>
      </c>
      <c r="E55" s="4" t="s">
        <v>24</v>
      </c>
      <c r="F55" s="6">
        <v>50</v>
      </c>
      <c r="G55" s="6">
        <v>43418.33</v>
      </c>
    </row>
    <row r="56" spans="1:7" x14ac:dyDescent="0.25">
      <c r="A56" s="7">
        <v>52</v>
      </c>
      <c r="B56" s="7" t="s">
        <v>155</v>
      </c>
      <c r="C56" s="7" t="s">
        <v>156</v>
      </c>
      <c r="D56" s="7" t="s">
        <v>18</v>
      </c>
      <c r="E56" s="7" t="s">
        <v>20</v>
      </c>
      <c r="F56" s="9">
        <v>140</v>
      </c>
      <c r="G56" s="9">
        <v>43558.33</v>
      </c>
    </row>
    <row r="57" spans="1:7" x14ac:dyDescent="0.25">
      <c r="A57" s="4">
        <v>53</v>
      </c>
      <c r="B57" s="4" t="s">
        <v>157</v>
      </c>
      <c r="C57" s="4" t="s">
        <v>159</v>
      </c>
      <c r="D57" s="4" t="s">
        <v>22</v>
      </c>
      <c r="E57" s="4" t="s">
        <v>47</v>
      </c>
      <c r="F57" s="6">
        <v>530</v>
      </c>
      <c r="G57" s="6">
        <v>44088.33</v>
      </c>
    </row>
    <row r="58" spans="1:7" x14ac:dyDescent="0.25">
      <c r="A58" s="7">
        <v>54</v>
      </c>
      <c r="B58" s="7" t="s">
        <v>166</v>
      </c>
      <c r="C58" s="7" t="s">
        <v>167</v>
      </c>
      <c r="D58" s="7" t="s">
        <v>67</v>
      </c>
      <c r="E58" s="7" t="s">
        <v>49</v>
      </c>
      <c r="F58" s="9">
        <v>134</v>
      </c>
      <c r="G58" s="9">
        <v>44222.33</v>
      </c>
    </row>
    <row r="59" spans="1:7" x14ac:dyDescent="0.25">
      <c r="A59" s="4">
        <v>55</v>
      </c>
      <c r="B59" s="4" t="s">
        <v>168</v>
      </c>
      <c r="C59" s="4" t="s">
        <v>170</v>
      </c>
      <c r="D59" s="4" t="s">
        <v>67</v>
      </c>
      <c r="E59" s="4" t="s">
        <v>54</v>
      </c>
      <c r="F59" s="6">
        <v>20</v>
      </c>
      <c r="G59" s="6">
        <v>44242.33</v>
      </c>
    </row>
    <row r="60" spans="1:7" x14ac:dyDescent="0.25">
      <c r="A60" s="7">
        <v>56</v>
      </c>
      <c r="B60" s="7" t="s">
        <v>171</v>
      </c>
      <c r="C60" s="7" t="s">
        <v>172</v>
      </c>
      <c r="D60" s="7" t="s">
        <v>67</v>
      </c>
      <c r="E60" s="7" t="s">
        <v>49</v>
      </c>
      <c r="F60" s="9">
        <v>700</v>
      </c>
      <c r="G60" s="9">
        <v>44942.33</v>
      </c>
    </row>
    <row r="61" spans="1:7" x14ac:dyDescent="0.25">
      <c r="A61" s="4">
        <v>57</v>
      </c>
      <c r="B61" s="4" t="s">
        <v>175</v>
      </c>
      <c r="C61" s="4" t="s">
        <v>176</v>
      </c>
      <c r="D61" s="4" t="s">
        <v>67</v>
      </c>
      <c r="E61" s="4" t="s">
        <v>47</v>
      </c>
      <c r="F61" s="6">
        <v>500</v>
      </c>
      <c r="G61" s="6">
        <v>45442.33</v>
      </c>
    </row>
    <row r="62" spans="1:7" x14ac:dyDescent="0.25">
      <c r="A62" s="7">
        <v>58</v>
      </c>
      <c r="B62" s="7" t="s">
        <v>175</v>
      </c>
      <c r="C62" s="7" t="s">
        <v>177</v>
      </c>
      <c r="D62" s="7" t="s">
        <v>67</v>
      </c>
      <c r="E62" s="7" t="s">
        <v>52</v>
      </c>
      <c r="F62" s="9">
        <v>600</v>
      </c>
      <c r="G62" s="9">
        <v>46042.33</v>
      </c>
    </row>
    <row r="63" spans="1:7" x14ac:dyDescent="0.25">
      <c r="A63" s="4">
        <v>59</v>
      </c>
      <c r="B63" s="4" t="s">
        <v>180</v>
      </c>
      <c r="C63" s="4" t="s">
        <v>181</v>
      </c>
      <c r="D63" s="4" t="s">
        <v>67</v>
      </c>
      <c r="E63" s="4" t="s">
        <v>26</v>
      </c>
      <c r="F63" s="6">
        <v>320</v>
      </c>
      <c r="G63" s="6">
        <v>46362.33</v>
      </c>
    </row>
    <row r="64" spans="1:7" x14ac:dyDescent="0.25">
      <c r="A64" s="7">
        <v>60</v>
      </c>
      <c r="B64" s="7" t="s">
        <v>182</v>
      </c>
      <c r="C64" s="7" t="s">
        <v>110</v>
      </c>
      <c r="D64" s="7" t="s">
        <v>67</v>
      </c>
      <c r="E64" s="7" t="s">
        <v>47</v>
      </c>
      <c r="F64" s="9">
        <v>300</v>
      </c>
      <c r="G64" s="9">
        <v>46662.33</v>
      </c>
    </row>
    <row r="65" spans="1:7" x14ac:dyDescent="0.25">
      <c r="A65" s="4">
        <v>61</v>
      </c>
      <c r="B65" s="4" t="s">
        <v>184</v>
      </c>
      <c r="C65" s="4" t="s">
        <v>185</v>
      </c>
      <c r="D65" s="4" t="s">
        <v>67</v>
      </c>
      <c r="E65" s="4" t="s">
        <v>49</v>
      </c>
      <c r="F65" s="6">
        <v>162</v>
      </c>
      <c r="G65" s="6">
        <v>46824.33</v>
      </c>
    </row>
    <row r="66" spans="1:7" x14ac:dyDescent="0.25">
      <c r="A66" s="7">
        <v>62</v>
      </c>
      <c r="B66" s="7" t="s">
        <v>186</v>
      </c>
      <c r="C66" s="7" t="s">
        <v>187</v>
      </c>
      <c r="D66" s="7" t="s">
        <v>18</v>
      </c>
      <c r="E66" s="7" t="s">
        <v>16</v>
      </c>
      <c r="F66" s="9">
        <v>220</v>
      </c>
      <c r="G66" s="9">
        <v>47044.33</v>
      </c>
    </row>
    <row r="67" spans="1:7" x14ac:dyDescent="0.25">
      <c r="A67" s="4">
        <v>63</v>
      </c>
      <c r="B67" s="4" t="s">
        <v>190</v>
      </c>
      <c r="C67" s="4" t="s">
        <v>181</v>
      </c>
      <c r="D67" s="4" t="s">
        <v>67</v>
      </c>
      <c r="E67" s="4" t="s">
        <v>26</v>
      </c>
      <c r="F67" s="6">
        <v>200</v>
      </c>
      <c r="G67" s="6">
        <v>47244.33</v>
      </c>
    </row>
    <row r="68" spans="1:7" x14ac:dyDescent="0.25">
      <c r="A68" s="7">
        <v>64</v>
      </c>
      <c r="B68" s="7" t="s">
        <v>191</v>
      </c>
      <c r="C68" s="7" t="s">
        <v>192</v>
      </c>
      <c r="D68" s="7" t="s">
        <v>67</v>
      </c>
      <c r="E68" s="7" t="s">
        <v>26</v>
      </c>
      <c r="F68" s="9">
        <v>650</v>
      </c>
      <c r="G68" s="9">
        <v>47894.33</v>
      </c>
    </row>
    <row r="69" spans="1:7" x14ac:dyDescent="0.25">
      <c r="A69" s="4">
        <v>65</v>
      </c>
      <c r="B69" s="4" t="s">
        <v>196</v>
      </c>
      <c r="C69" s="4" t="s">
        <v>197</v>
      </c>
      <c r="D69" s="4" t="s">
        <v>22</v>
      </c>
      <c r="E69" s="4" t="s">
        <v>116</v>
      </c>
      <c r="F69" s="6">
        <v>241.64</v>
      </c>
      <c r="G69" s="6">
        <v>48135.97</v>
      </c>
    </row>
    <row r="70" spans="1:7" x14ac:dyDescent="0.25">
      <c r="A70" s="7">
        <v>66</v>
      </c>
      <c r="B70" s="7" t="s">
        <v>207</v>
      </c>
      <c r="C70" s="7" t="s">
        <v>167</v>
      </c>
      <c r="D70" s="7" t="s">
        <v>67</v>
      </c>
      <c r="E70" s="7" t="s">
        <v>49</v>
      </c>
      <c r="F70" s="9">
        <v>390</v>
      </c>
      <c r="G70" s="9">
        <v>48525.97</v>
      </c>
    </row>
    <row r="71" spans="1:7" x14ac:dyDescent="0.25">
      <c r="A71" s="4">
        <v>67</v>
      </c>
      <c r="B71" s="4" t="s">
        <v>208</v>
      </c>
      <c r="C71" s="4" t="s">
        <v>209</v>
      </c>
      <c r="D71" s="4" t="s">
        <v>67</v>
      </c>
      <c r="E71" s="4" t="s">
        <v>26</v>
      </c>
      <c r="F71" s="6">
        <v>1000</v>
      </c>
      <c r="G71" s="6">
        <v>49525.97</v>
      </c>
    </row>
    <row r="72" spans="1:7" x14ac:dyDescent="0.25">
      <c r="A72" s="7">
        <v>68</v>
      </c>
      <c r="B72" s="7" t="s">
        <v>208</v>
      </c>
      <c r="C72" s="7" t="s">
        <v>210</v>
      </c>
      <c r="D72" s="7" t="s">
        <v>67</v>
      </c>
      <c r="E72" s="7" t="s">
        <v>26</v>
      </c>
      <c r="F72" s="9">
        <v>157</v>
      </c>
      <c r="G72" s="9">
        <v>49682.97</v>
      </c>
    </row>
    <row r="73" spans="1:7" x14ac:dyDescent="0.25">
      <c r="A73" s="4">
        <v>69</v>
      </c>
      <c r="B73" s="4" t="s">
        <v>211</v>
      </c>
      <c r="C73" s="4" t="s">
        <v>185</v>
      </c>
      <c r="D73" s="4" t="s">
        <v>67</v>
      </c>
      <c r="E73" s="4" t="s">
        <v>49</v>
      </c>
      <c r="F73" s="6">
        <v>1116</v>
      </c>
      <c r="G73" s="6">
        <v>50798.97</v>
      </c>
    </row>
    <row r="74" spans="1:7" x14ac:dyDescent="0.25">
      <c r="A74" s="7">
        <v>70</v>
      </c>
      <c r="B74" s="7" t="s">
        <v>213</v>
      </c>
      <c r="C74" s="7" t="s">
        <v>214</v>
      </c>
      <c r="D74" s="7" t="s">
        <v>67</v>
      </c>
      <c r="E74" s="7" t="s">
        <v>54</v>
      </c>
      <c r="F74" s="9">
        <v>280</v>
      </c>
      <c r="G74" s="9">
        <v>51078.97</v>
      </c>
    </row>
    <row r="75" spans="1:7" x14ac:dyDescent="0.25">
      <c r="A75" s="4">
        <v>71</v>
      </c>
      <c r="B75" s="4" t="s">
        <v>215</v>
      </c>
      <c r="C75" s="4" t="s">
        <v>216</v>
      </c>
      <c r="D75" s="4" t="s">
        <v>67</v>
      </c>
      <c r="E75" s="4" t="s">
        <v>54</v>
      </c>
      <c r="F75" s="6">
        <v>67</v>
      </c>
      <c r="G75" s="6">
        <v>51145.97</v>
      </c>
    </row>
    <row r="76" spans="1:7" x14ac:dyDescent="0.25">
      <c r="A76" s="7">
        <v>72</v>
      </c>
      <c r="B76" s="7" t="s">
        <v>217</v>
      </c>
      <c r="C76" s="7" t="s">
        <v>218</v>
      </c>
      <c r="D76" s="7" t="s">
        <v>67</v>
      </c>
      <c r="E76" s="7" t="s">
        <v>24</v>
      </c>
      <c r="F76" s="9">
        <v>1000</v>
      </c>
      <c r="G76" s="9">
        <v>52145.97</v>
      </c>
    </row>
    <row r="77" spans="1:7" x14ac:dyDescent="0.25">
      <c r="A77" s="4">
        <v>73</v>
      </c>
      <c r="B77" s="4" t="s">
        <v>219</v>
      </c>
      <c r="C77" s="4" t="s">
        <v>220</v>
      </c>
      <c r="D77" s="4" t="s">
        <v>67</v>
      </c>
      <c r="E77" s="4" t="s">
        <v>49</v>
      </c>
      <c r="F77" s="6">
        <v>200</v>
      </c>
      <c r="G77" s="6">
        <v>52345.97</v>
      </c>
    </row>
    <row r="78" spans="1:7" x14ac:dyDescent="0.25">
      <c r="A78" s="7">
        <v>74</v>
      </c>
      <c r="B78" s="7" t="s">
        <v>221</v>
      </c>
      <c r="C78" s="7" t="s">
        <v>222</v>
      </c>
      <c r="D78" s="7" t="s">
        <v>67</v>
      </c>
      <c r="E78" s="7" t="s">
        <v>49</v>
      </c>
      <c r="F78" s="9">
        <v>500</v>
      </c>
      <c r="G78" s="9">
        <v>52845.97</v>
      </c>
    </row>
    <row r="79" spans="1:7" x14ac:dyDescent="0.25">
      <c r="A79" s="4">
        <v>75</v>
      </c>
      <c r="B79" s="4" t="s">
        <v>233</v>
      </c>
      <c r="C79" s="4" t="s">
        <v>214</v>
      </c>
      <c r="D79" s="4" t="s">
        <v>67</v>
      </c>
      <c r="E79" s="4" t="s">
        <v>54</v>
      </c>
      <c r="F79" s="6">
        <v>135</v>
      </c>
      <c r="G79" s="6">
        <v>52980.97</v>
      </c>
    </row>
    <row r="80" ht="26" customHeight="1" spans="1:7" x14ac:dyDescent="0.25">
      <c r="A80" s="38" t="s">
        <v>15</v>
      </c>
      <c r="B80" s="38" t="s">
        <v>15</v>
      </c>
      <c r="C80" s="38" t="s">
        <v>314</v>
      </c>
      <c r="D80" s="38" t="s">
        <v>15</v>
      </c>
      <c r="E80" s="38" t="s">
        <v>15</v>
      </c>
      <c r="F80" s="39">
        <v>52980.97</v>
      </c>
      <c r="G80" s="38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74C3C"/>
  </sheetPr>
  <dimension ref="A1:G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50" customWidth="1"/>
    <col min="4" max="4" width="22" customWidth="1"/>
    <col min="5" max="5" width="16" customWidth="1"/>
    <col min="6" max="6" width="15" customWidth="1"/>
    <col min="7" max="7" width="18" customWidth="1"/>
  </cols>
  <sheetData>
    <row r="1" ht="36" customHeight="1" spans="1:7" x14ac:dyDescent="0.25">
      <c r="A1" s="1" t="s">
        <v>315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28" t="s">
        <v>2</v>
      </c>
      <c r="B4" s="28" t="s">
        <v>3</v>
      </c>
      <c r="C4" s="28" t="s">
        <v>311</v>
      </c>
      <c r="D4" s="28" t="s">
        <v>6</v>
      </c>
      <c r="E4" s="28" t="s">
        <v>0</v>
      </c>
      <c r="F4" s="28" t="s">
        <v>312</v>
      </c>
      <c r="G4" s="28" t="s">
        <v>313</v>
      </c>
    </row>
    <row r="5" spans="1:7" x14ac:dyDescent="0.25">
      <c r="A5" s="4">
        <v>1</v>
      </c>
      <c r="B5" s="4" t="s">
        <v>27</v>
      </c>
      <c r="C5" s="4" t="s">
        <v>30</v>
      </c>
      <c r="D5" s="4" t="s">
        <v>29</v>
      </c>
      <c r="E5" s="4" t="s">
        <v>16</v>
      </c>
      <c r="F5" s="6">
        <v>229</v>
      </c>
      <c r="G5" s="6">
        <v>229</v>
      </c>
    </row>
    <row r="6" spans="1:7" x14ac:dyDescent="0.25">
      <c r="A6" s="7">
        <v>2</v>
      </c>
      <c r="B6" s="7" t="s">
        <v>27</v>
      </c>
      <c r="C6" s="7" t="s">
        <v>31</v>
      </c>
      <c r="D6" s="7" t="s">
        <v>29</v>
      </c>
      <c r="E6" s="7" t="s">
        <v>16</v>
      </c>
      <c r="F6" s="9">
        <v>250</v>
      </c>
      <c r="G6" s="9">
        <v>479</v>
      </c>
    </row>
    <row r="7" spans="1:7" x14ac:dyDescent="0.25">
      <c r="A7" s="4">
        <v>3</v>
      </c>
      <c r="B7" s="4" t="s">
        <v>27</v>
      </c>
      <c r="C7" s="4" t="s">
        <v>32</v>
      </c>
      <c r="D7" s="4" t="s">
        <v>29</v>
      </c>
      <c r="E7" s="4" t="s">
        <v>16</v>
      </c>
      <c r="F7" s="6">
        <v>240</v>
      </c>
      <c r="G7" s="6">
        <v>719</v>
      </c>
    </row>
    <row r="8" spans="1:7" x14ac:dyDescent="0.25">
      <c r="A8" s="7">
        <v>4</v>
      </c>
      <c r="B8" s="7" t="s">
        <v>33</v>
      </c>
      <c r="C8" s="7" t="s">
        <v>35</v>
      </c>
      <c r="D8" s="7" t="s">
        <v>34</v>
      </c>
      <c r="E8" s="7" t="s">
        <v>16</v>
      </c>
      <c r="F8" s="9">
        <v>170</v>
      </c>
      <c r="G8" s="9">
        <v>889</v>
      </c>
    </row>
    <row r="9" spans="1:7" x14ac:dyDescent="0.25">
      <c r="A9" s="4">
        <v>5</v>
      </c>
      <c r="B9" s="4" t="s">
        <v>33</v>
      </c>
      <c r="C9" s="4" t="s">
        <v>36</v>
      </c>
      <c r="D9" s="4" t="s">
        <v>34</v>
      </c>
      <c r="E9" s="4" t="s">
        <v>16</v>
      </c>
      <c r="F9" s="6">
        <v>130</v>
      </c>
      <c r="G9" s="6">
        <v>1019</v>
      </c>
    </row>
    <row r="10" spans="1:7" x14ac:dyDescent="0.25">
      <c r="A10" s="7">
        <v>6</v>
      </c>
      <c r="B10" s="7" t="s">
        <v>37</v>
      </c>
      <c r="C10" s="7" t="s">
        <v>39</v>
      </c>
      <c r="D10" s="7" t="s">
        <v>38</v>
      </c>
      <c r="E10" s="7" t="s">
        <v>16</v>
      </c>
      <c r="F10" s="9">
        <v>56.73</v>
      </c>
      <c r="G10" s="9">
        <v>1075.73</v>
      </c>
    </row>
    <row r="11" spans="1:7" x14ac:dyDescent="0.25">
      <c r="A11" s="4">
        <v>7</v>
      </c>
      <c r="B11" s="4" t="s">
        <v>40</v>
      </c>
      <c r="C11" s="4" t="s">
        <v>41</v>
      </c>
      <c r="D11" s="4" t="s">
        <v>38</v>
      </c>
      <c r="E11" s="4" t="s">
        <v>16</v>
      </c>
      <c r="F11" s="6">
        <v>100</v>
      </c>
      <c r="G11" s="6">
        <v>1175.73</v>
      </c>
    </row>
    <row r="12" spans="1:7" x14ac:dyDescent="0.25">
      <c r="A12" s="7">
        <v>8</v>
      </c>
      <c r="B12" s="7" t="s">
        <v>42</v>
      </c>
      <c r="C12" s="7" t="s">
        <v>44</v>
      </c>
      <c r="D12" s="7" t="s">
        <v>43</v>
      </c>
      <c r="E12" s="7" t="s">
        <v>16</v>
      </c>
      <c r="F12" s="9">
        <v>108.84</v>
      </c>
      <c r="G12" s="9">
        <v>1284.57</v>
      </c>
    </row>
    <row r="13" spans="1:7" x14ac:dyDescent="0.25">
      <c r="A13" s="4">
        <v>9</v>
      </c>
      <c r="B13" s="4" t="s">
        <v>59</v>
      </c>
      <c r="C13" s="4" t="s">
        <v>61</v>
      </c>
      <c r="D13" s="4" t="s">
        <v>60</v>
      </c>
      <c r="E13" s="4" t="s">
        <v>16</v>
      </c>
      <c r="F13" s="6">
        <v>8.7</v>
      </c>
      <c r="G13" s="6">
        <v>1293.27</v>
      </c>
    </row>
    <row r="14" spans="1:7" x14ac:dyDescent="0.25">
      <c r="A14" s="7">
        <v>10</v>
      </c>
      <c r="B14" s="7" t="s">
        <v>66</v>
      </c>
      <c r="C14" s="7" t="s">
        <v>76</v>
      </c>
      <c r="D14" s="7" t="s">
        <v>75</v>
      </c>
      <c r="E14" s="7" t="s">
        <v>54</v>
      </c>
      <c r="F14" s="9">
        <v>300</v>
      </c>
      <c r="G14" s="9">
        <v>1593.27</v>
      </c>
    </row>
    <row r="15" spans="1:7" x14ac:dyDescent="0.25">
      <c r="A15" s="4">
        <v>11</v>
      </c>
      <c r="B15" s="4" t="s">
        <v>80</v>
      </c>
      <c r="C15" s="4" t="s">
        <v>82</v>
      </c>
      <c r="D15" s="4" t="s">
        <v>81</v>
      </c>
      <c r="E15" s="4" t="s">
        <v>16</v>
      </c>
      <c r="F15" s="6">
        <v>4000</v>
      </c>
      <c r="G15" s="6">
        <v>5593.27</v>
      </c>
    </row>
    <row r="16" spans="1:7" x14ac:dyDescent="0.25">
      <c r="A16" s="7">
        <v>12</v>
      </c>
      <c r="B16" s="7" t="s">
        <v>85</v>
      </c>
      <c r="C16" s="7" t="s">
        <v>87</v>
      </c>
      <c r="D16" s="7" t="s">
        <v>29</v>
      </c>
      <c r="E16" s="7" t="s">
        <v>16</v>
      </c>
      <c r="F16" s="9">
        <v>4000</v>
      </c>
      <c r="G16" s="9">
        <v>9593.27</v>
      </c>
    </row>
    <row r="17" spans="1:7" x14ac:dyDescent="0.25">
      <c r="A17" s="4">
        <v>13</v>
      </c>
      <c r="B17" s="4" t="s">
        <v>91</v>
      </c>
      <c r="C17" s="4" t="s">
        <v>92</v>
      </c>
      <c r="D17" s="4" t="s">
        <v>29</v>
      </c>
      <c r="E17" s="4" t="s">
        <v>16</v>
      </c>
      <c r="F17" s="6">
        <v>8016.25</v>
      </c>
      <c r="G17" s="6">
        <v>17609.52</v>
      </c>
    </row>
    <row r="18" spans="1:7" x14ac:dyDescent="0.25">
      <c r="A18" s="7">
        <v>14</v>
      </c>
      <c r="B18" s="7" t="s">
        <v>91</v>
      </c>
      <c r="C18" s="7" t="s">
        <v>93</v>
      </c>
      <c r="D18" s="7" t="s">
        <v>34</v>
      </c>
      <c r="E18" s="7" t="s">
        <v>26</v>
      </c>
      <c r="F18" s="9">
        <v>250</v>
      </c>
      <c r="G18" s="9">
        <v>17859.52</v>
      </c>
    </row>
    <row r="19" spans="1:7" x14ac:dyDescent="0.25">
      <c r="A19" s="4">
        <v>15</v>
      </c>
      <c r="B19" s="4" t="s">
        <v>94</v>
      </c>
      <c r="C19" s="4" t="s">
        <v>97</v>
      </c>
      <c r="D19" s="4" t="s">
        <v>81</v>
      </c>
      <c r="E19" s="4" t="s">
        <v>16</v>
      </c>
      <c r="F19" s="6">
        <v>7704</v>
      </c>
      <c r="G19" s="6">
        <v>25563.52</v>
      </c>
    </row>
    <row r="20" spans="1:7" x14ac:dyDescent="0.25">
      <c r="A20" s="7">
        <v>16</v>
      </c>
      <c r="B20" s="7" t="s">
        <v>94</v>
      </c>
      <c r="C20" s="7" t="s">
        <v>98</v>
      </c>
      <c r="D20" s="7" t="s">
        <v>81</v>
      </c>
      <c r="E20" s="7" t="s">
        <v>16</v>
      </c>
      <c r="F20" s="9">
        <v>3785.59</v>
      </c>
      <c r="G20" s="9">
        <v>29349.11</v>
      </c>
    </row>
    <row r="21" spans="1:7" x14ac:dyDescent="0.25">
      <c r="A21" s="4">
        <v>17</v>
      </c>
      <c r="B21" s="4" t="s">
        <v>94</v>
      </c>
      <c r="C21" s="4" t="s">
        <v>99</v>
      </c>
      <c r="D21" s="4" t="s">
        <v>60</v>
      </c>
      <c r="E21" s="4" t="s">
        <v>16</v>
      </c>
      <c r="F21" s="6">
        <v>50</v>
      </c>
      <c r="G21" s="6">
        <v>29399.11</v>
      </c>
    </row>
    <row r="22" spans="1:7" x14ac:dyDescent="0.25">
      <c r="A22" s="7">
        <v>18</v>
      </c>
      <c r="B22" s="7" t="s">
        <v>94</v>
      </c>
      <c r="C22" s="7" t="s">
        <v>101</v>
      </c>
      <c r="D22" s="7" t="s">
        <v>100</v>
      </c>
      <c r="E22" s="7" t="s">
        <v>16</v>
      </c>
      <c r="F22" s="9">
        <v>200</v>
      </c>
      <c r="G22" s="9">
        <v>29599.11</v>
      </c>
    </row>
    <row r="23" spans="1:7" x14ac:dyDescent="0.25">
      <c r="A23" s="4">
        <v>19</v>
      </c>
      <c r="B23" s="4" t="s">
        <v>94</v>
      </c>
      <c r="C23" s="4" t="s">
        <v>102</v>
      </c>
      <c r="D23" s="4" t="s">
        <v>81</v>
      </c>
      <c r="E23" s="4" t="s">
        <v>16</v>
      </c>
      <c r="F23" s="6">
        <v>250</v>
      </c>
      <c r="G23" s="6">
        <v>29849.11</v>
      </c>
    </row>
    <row r="24" spans="1:7" x14ac:dyDescent="0.25">
      <c r="A24" s="7">
        <v>20</v>
      </c>
      <c r="B24" s="7" t="s">
        <v>94</v>
      </c>
      <c r="C24" s="7" t="s">
        <v>103</v>
      </c>
      <c r="D24" s="7" t="s">
        <v>34</v>
      </c>
      <c r="E24" s="7" t="s">
        <v>16</v>
      </c>
      <c r="F24" s="9">
        <v>395</v>
      </c>
      <c r="G24" s="9">
        <v>30244.11</v>
      </c>
    </row>
    <row r="25" spans="1:7" x14ac:dyDescent="0.25">
      <c r="A25" s="4">
        <v>21</v>
      </c>
      <c r="B25" s="4" t="s">
        <v>94</v>
      </c>
      <c r="C25" s="4" t="s">
        <v>104</v>
      </c>
      <c r="D25" s="4" t="s">
        <v>81</v>
      </c>
      <c r="E25" s="4" t="s">
        <v>16</v>
      </c>
      <c r="F25" s="6">
        <v>250</v>
      </c>
      <c r="G25" s="6">
        <v>30494.11</v>
      </c>
    </row>
    <row r="26" spans="1:7" x14ac:dyDescent="0.25">
      <c r="A26" s="7">
        <v>22</v>
      </c>
      <c r="B26" s="7" t="s">
        <v>94</v>
      </c>
      <c r="C26" s="7" t="s">
        <v>105</v>
      </c>
      <c r="D26" s="7" t="s">
        <v>81</v>
      </c>
      <c r="E26" s="7" t="s">
        <v>16</v>
      </c>
      <c r="F26" s="9">
        <v>100</v>
      </c>
      <c r="G26" s="9">
        <v>30594.11</v>
      </c>
    </row>
    <row r="27" spans="1:7" x14ac:dyDescent="0.25">
      <c r="A27" s="4">
        <v>23</v>
      </c>
      <c r="B27" s="4" t="s">
        <v>94</v>
      </c>
      <c r="C27" s="4" t="s">
        <v>106</v>
      </c>
      <c r="D27" s="4" t="s">
        <v>81</v>
      </c>
      <c r="E27" s="4" t="s">
        <v>16</v>
      </c>
      <c r="F27" s="6">
        <v>1050</v>
      </c>
      <c r="G27" s="6">
        <v>31644.11</v>
      </c>
    </row>
    <row r="28" spans="1:7" x14ac:dyDescent="0.25">
      <c r="A28" s="7">
        <v>24</v>
      </c>
      <c r="B28" s="7" t="s">
        <v>109</v>
      </c>
      <c r="C28" s="7" t="s">
        <v>111</v>
      </c>
      <c r="D28" s="7" t="s">
        <v>29</v>
      </c>
      <c r="E28" s="7" t="s">
        <v>16</v>
      </c>
      <c r="F28" s="9">
        <v>410</v>
      </c>
      <c r="G28" s="9">
        <v>32054.11</v>
      </c>
    </row>
    <row r="29" spans="1:7" x14ac:dyDescent="0.25">
      <c r="A29" s="4">
        <v>25</v>
      </c>
      <c r="B29" s="4" t="s">
        <v>118</v>
      </c>
      <c r="C29" s="4" t="s">
        <v>120</v>
      </c>
      <c r="D29" s="4" t="s">
        <v>119</v>
      </c>
      <c r="E29" s="4" t="s">
        <v>16</v>
      </c>
      <c r="F29" s="6">
        <v>150</v>
      </c>
      <c r="G29" s="6">
        <v>32204.11</v>
      </c>
    </row>
    <row r="30" spans="1:7" x14ac:dyDescent="0.25">
      <c r="A30" s="7">
        <v>26</v>
      </c>
      <c r="B30" s="7" t="s">
        <v>135</v>
      </c>
      <c r="C30" s="7" t="s">
        <v>136</v>
      </c>
      <c r="D30" s="7" t="s">
        <v>75</v>
      </c>
      <c r="E30" s="7" t="s">
        <v>16</v>
      </c>
      <c r="F30" s="9">
        <v>771</v>
      </c>
      <c r="G30" s="9">
        <v>32975.11</v>
      </c>
    </row>
    <row r="31" spans="1:7" x14ac:dyDescent="0.25">
      <c r="A31" s="4">
        <v>27</v>
      </c>
      <c r="B31" s="4" t="s">
        <v>137</v>
      </c>
      <c r="C31" s="4" t="s">
        <v>139</v>
      </c>
      <c r="D31" s="4" t="s">
        <v>138</v>
      </c>
      <c r="E31" s="4" t="s">
        <v>16</v>
      </c>
      <c r="F31" s="6">
        <v>350</v>
      </c>
      <c r="G31" s="6">
        <v>33325.11</v>
      </c>
    </row>
    <row r="32" spans="1:7" x14ac:dyDescent="0.25">
      <c r="A32" s="7">
        <v>28</v>
      </c>
      <c r="B32" s="7" t="s">
        <v>140</v>
      </c>
      <c r="C32" s="7" t="s">
        <v>141</v>
      </c>
      <c r="D32" s="7" t="s">
        <v>38</v>
      </c>
      <c r="E32" s="7" t="s">
        <v>16</v>
      </c>
      <c r="F32" s="9">
        <v>75</v>
      </c>
      <c r="G32" s="9">
        <v>33400.11</v>
      </c>
    </row>
    <row r="33" spans="1:7" x14ac:dyDescent="0.25">
      <c r="A33" s="4">
        <v>29</v>
      </c>
      <c r="B33" s="4" t="s">
        <v>150</v>
      </c>
      <c r="C33" s="4" t="s">
        <v>151</v>
      </c>
      <c r="D33" s="4" t="s">
        <v>75</v>
      </c>
      <c r="E33" s="4" t="s">
        <v>49</v>
      </c>
      <c r="F33" s="6">
        <v>300</v>
      </c>
      <c r="G33" s="6">
        <v>33700.11</v>
      </c>
    </row>
    <row r="34" spans="1:7" x14ac:dyDescent="0.25">
      <c r="A34" s="7">
        <v>30</v>
      </c>
      <c r="B34" s="7" t="s">
        <v>152</v>
      </c>
      <c r="C34" s="7" t="s">
        <v>153</v>
      </c>
      <c r="D34" s="7" t="s">
        <v>100</v>
      </c>
      <c r="E34" s="7" t="s">
        <v>16</v>
      </c>
      <c r="F34" s="9">
        <v>200</v>
      </c>
      <c r="G34" s="9">
        <v>33900.11</v>
      </c>
    </row>
    <row r="35" spans="1:7" x14ac:dyDescent="0.25">
      <c r="A35" s="4">
        <v>31</v>
      </c>
      <c r="B35" s="4" t="s">
        <v>152</v>
      </c>
      <c r="C35" s="4" t="s">
        <v>154</v>
      </c>
      <c r="D35" s="4" t="s">
        <v>29</v>
      </c>
      <c r="E35" s="4" t="s">
        <v>16</v>
      </c>
      <c r="F35" s="6">
        <v>300</v>
      </c>
      <c r="G35" s="6">
        <v>34200.11</v>
      </c>
    </row>
    <row r="36" spans="1:7" x14ac:dyDescent="0.25">
      <c r="A36" s="7">
        <v>32</v>
      </c>
      <c r="B36" s="7" t="s">
        <v>160</v>
      </c>
      <c r="C36" s="7" t="s">
        <v>161</v>
      </c>
      <c r="D36" s="7" t="s">
        <v>138</v>
      </c>
      <c r="E36" s="7" t="s">
        <v>16</v>
      </c>
      <c r="F36" s="9">
        <v>200</v>
      </c>
      <c r="G36" s="9">
        <v>34400.11</v>
      </c>
    </row>
    <row r="37" spans="1:7" x14ac:dyDescent="0.25">
      <c r="A37" s="4">
        <v>33</v>
      </c>
      <c r="B37" s="4" t="s">
        <v>162</v>
      </c>
      <c r="C37" s="4" t="s">
        <v>161</v>
      </c>
      <c r="D37" s="4" t="s">
        <v>138</v>
      </c>
      <c r="E37" s="4" t="s">
        <v>16</v>
      </c>
      <c r="F37" s="6">
        <v>200</v>
      </c>
      <c r="G37" s="6">
        <v>34600.11</v>
      </c>
    </row>
    <row r="38" spans="1:7" x14ac:dyDescent="0.25">
      <c r="A38" s="7">
        <v>34</v>
      </c>
      <c r="B38" s="7" t="s">
        <v>163</v>
      </c>
      <c r="C38" s="7" t="s">
        <v>164</v>
      </c>
      <c r="D38" s="7" t="s">
        <v>138</v>
      </c>
      <c r="E38" s="7" t="s">
        <v>16</v>
      </c>
      <c r="F38" s="9">
        <v>3500</v>
      </c>
      <c r="G38" s="9">
        <v>38100.11</v>
      </c>
    </row>
    <row r="39" spans="1:7" x14ac:dyDescent="0.25">
      <c r="A39" s="4">
        <v>35</v>
      </c>
      <c r="B39" s="4" t="s">
        <v>163</v>
      </c>
      <c r="C39" s="4" t="s">
        <v>165</v>
      </c>
      <c r="D39" s="4" t="s">
        <v>43</v>
      </c>
      <c r="E39" s="4" t="s">
        <v>47</v>
      </c>
      <c r="F39" s="6">
        <v>20.41</v>
      </c>
      <c r="G39" s="6">
        <v>38120.520000000004</v>
      </c>
    </row>
    <row r="40" spans="1:7" x14ac:dyDescent="0.25">
      <c r="A40" s="7">
        <v>36</v>
      </c>
      <c r="B40" s="7" t="s">
        <v>171</v>
      </c>
      <c r="C40" s="7" t="s">
        <v>164</v>
      </c>
      <c r="D40" s="7" t="s">
        <v>138</v>
      </c>
      <c r="E40" s="7" t="s">
        <v>16</v>
      </c>
      <c r="F40" s="9">
        <v>5000</v>
      </c>
      <c r="G40" s="9">
        <v>43120.520000000004</v>
      </c>
    </row>
    <row r="41" spans="1:7" x14ac:dyDescent="0.25">
      <c r="A41" s="4">
        <v>37</v>
      </c>
      <c r="B41" s="4" t="s">
        <v>173</v>
      </c>
      <c r="C41" s="4" t="s">
        <v>174</v>
      </c>
      <c r="D41" s="4" t="s">
        <v>29</v>
      </c>
      <c r="E41" s="4" t="s">
        <v>16</v>
      </c>
      <c r="F41" s="6">
        <v>5000</v>
      </c>
      <c r="G41" s="6">
        <v>48120.520000000004</v>
      </c>
    </row>
    <row r="42" spans="1:7" x14ac:dyDescent="0.25">
      <c r="A42" s="7">
        <v>38</v>
      </c>
      <c r="B42" s="7" t="s">
        <v>178</v>
      </c>
      <c r="C42" s="7" t="s">
        <v>179</v>
      </c>
      <c r="D42" s="7" t="s">
        <v>119</v>
      </c>
      <c r="E42" s="7" t="s">
        <v>16</v>
      </c>
      <c r="F42" s="9">
        <v>60</v>
      </c>
      <c r="G42" s="9">
        <v>48180.520000000004</v>
      </c>
    </row>
    <row r="43" spans="1:7" x14ac:dyDescent="0.25">
      <c r="A43" s="4">
        <v>39</v>
      </c>
      <c r="B43" s="4" t="s">
        <v>188</v>
      </c>
      <c r="C43" s="4" t="s">
        <v>189</v>
      </c>
      <c r="D43" s="4" t="s">
        <v>81</v>
      </c>
      <c r="E43" s="4" t="s">
        <v>16</v>
      </c>
      <c r="F43" s="6">
        <v>138</v>
      </c>
      <c r="G43" s="6">
        <v>48318.520000000004</v>
      </c>
    </row>
    <row r="44" spans="1:7" x14ac:dyDescent="0.25">
      <c r="A44" s="7">
        <v>40</v>
      </c>
      <c r="B44" s="7" t="s">
        <v>193</v>
      </c>
      <c r="C44" s="7" t="s">
        <v>194</v>
      </c>
      <c r="D44" s="7" t="s">
        <v>29</v>
      </c>
      <c r="E44" s="7" t="s">
        <v>16</v>
      </c>
      <c r="F44" s="9">
        <v>1000</v>
      </c>
      <c r="G44" s="9">
        <v>49318.520000000004</v>
      </c>
    </row>
    <row r="45" spans="1:7" x14ac:dyDescent="0.25">
      <c r="A45" s="4">
        <v>41</v>
      </c>
      <c r="B45" s="4" t="s">
        <v>193</v>
      </c>
      <c r="C45" s="4" t="s">
        <v>195</v>
      </c>
      <c r="D45" s="4" t="s">
        <v>75</v>
      </c>
      <c r="E45" s="4" t="s">
        <v>16</v>
      </c>
      <c r="F45" s="6">
        <v>200</v>
      </c>
      <c r="G45" s="6">
        <v>49518.520000000004</v>
      </c>
    </row>
    <row r="46" spans="1:7" x14ac:dyDescent="0.25">
      <c r="A46" s="7">
        <v>42</v>
      </c>
      <c r="B46" s="7" t="s">
        <v>198</v>
      </c>
      <c r="C46" s="7" t="s">
        <v>199</v>
      </c>
      <c r="D46" s="7" t="s">
        <v>29</v>
      </c>
      <c r="E46" s="7" t="s">
        <v>16</v>
      </c>
      <c r="F46" s="9">
        <v>383</v>
      </c>
      <c r="G46" s="9">
        <v>49901.520000000004</v>
      </c>
    </row>
    <row r="47" spans="1:7" x14ac:dyDescent="0.25">
      <c r="A47" s="4">
        <v>43</v>
      </c>
      <c r="B47" s="4" t="s">
        <v>200</v>
      </c>
      <c r="C47" s="4" t="s">
        <v>201</v>
      </c>
      <c r="D47" s="4" t="s">
        <v>119</v>
      </c>
      <c r="E47" s="4" t="s">
        <v>49</v>
      </c>
      <c r="F47" s="6">
        <v>30</v>
      </c>
      <c r="G47" s="6">
        <v>49931.520000000004</v>
      </c>
    </row>
    <row r="48" spans="1:7" x14ac:dyDescent="0.25">
      <c r="A48" s="7">
        <v>44</v>
      </c>
      <c r="B48" s="7" t="s">
        <v>202</v>
      </c>
      <c r="C48" s="7" t="s">
        <v>204</v>
      </c>
      <c r="D48" s="7" t="s">
        <v>43</v>
      </c>
      <c r="E48" s="7" t="s">
        <v>26</v>
      </c>
      <c r="F48" s="9">
        <v>31.49</v>
      </c>
      <c r="G48" s="9">
        <v>49963.01</v>
      </c>
    </row>
    <row r="49" spans="1:7" x14ac:dyDescent="0.25">
      <c r="A49" s="4">
        <v>45</v>
      </c>
      <c r="B49" s="4" t="s">
        <v>205</v>
      </c>
      <c r="C49" s="4" t="s">
        <v>206</v>
      </c>
      <c r="D49" s="4" t="s">
        <v>138</v>
      </c>
      <c r="E49" s="4" t="s">
        <v>16</v>
      </c>
      <c r="F49" s="6">
        <v>1400</v>
      </c>
      <c r="G49" s="6">
        <v>51363.01</v>
      </c>
    </row>
    <row r="50" spans="1:7" x14ac:dyDescent="0.25">
      <c r="A50" s="7">
        <v>46</v>
      </c>
      <c r="B50" s="7" t="s">
        <v>211</v>
      </c>
      <c r="C50" s="7" t="s">
        <v>212</v>
      </c>
      <c r="D50" s="7" t="s">
        <v>29</v>
      </c>
      <c r="E50" s="7" t="s">
        <v>16</v>
      </c>
      <c r="F50" s="9">
        <v>192</v>
      </c>
      <c r="G50" s="9">
        <v>51555.01</v>
      </c>
    </row>
    <row r="51" spans="1:7" x14ac:dyDescent="0.25">
      <c r="A51" s="4">
        <v>47</v>
      </c>
      <c r="B51" s="4" t="s">
        <v>223</v>
      </c>
      <c r="C51" s="4" t="s">
        <v>224</v>
      </c>
      <c r="D51" s="4" t="s">
        <v>29</v>
      </c>
      <c r="E51" s="4" t="s">
        <v>16</v>
      </c>
      <c r="F51" s="6">
        <v>812</v>
      </c>
      <c r="G51" s="6">
        <v>52367.01</v>
      </c>
    </row>
    <row r="52" spans="1:7" x14ac:dyDescent="0.25">
      <c r="A52" s="7">
        <v>48</v>
      </c>
      <c r="B52" s="7" t="s">
        <v>225</v>
      </c>
      <c r="C52" s="7" t="s">
        <v>226</v>
      </c>
      <c r="D52" s="7" t="s">
        <v>29</v>
      </c>
      <c r="E52" s="7" t="s">
        <v>16</v>
      </c>
      <c r="F52" s="9">
        <v>980</v>
      </c>
      <c r="G52" s="9">
        <v>53347.01</v>
      </c>
    </row>
    <row r="53" spans="1:7" x14ac:dyDescent="0.25">
      <c r="A53" s="4">
        <v>49</v>
      </c>
      <c r="B53" s="4" t="s">
        <v>227</v>
      </c>
      <c r="C53" s="4" t="s">
        <v>228</v>
      </c>
      <c r="D53" s="4" t="s">
        <v>34</v>
      </c>
      <c r="E53" s="4" t="s">
        <v>16</v>
      </c>
      <c r="F53" s="6">
        <v>140</v>
      </c>
      <c r="G53" s="6">
        <v>53487.01</v>
      </c>
    </row>
    <row r="54" spans="1:7" x14ac:dyDescent="0.25">
      <c r="A54" s="7">
        <v>50</v>
      </c>
      <c r="B54" s="7" t="s">
        <v>229</v>
      </c>
      <c r="C54" s="7" t="s">
        <v>230</v>
      </c>
      <c r="D54" s="7" t="s">
        <v>29</v>
      </c>
      <c r="E54" s="7" t="s">
        <v>16</v>
      </c>
      <c r="F54" s="9">
        <v>13.6</v>
      </c>
      <c r="G54" s="9">
        <v>53500.61</v>
      </c>
    </row>
    <row r="55" spans="1:7" x14ac:dyDescent="0.25">
      <c r="A55" s="4">
        <v>51</v>
      </c>
      <c r="B55" s="4" t="s">
        <v>231</v>
      </c>
      <c r="C55" s="4" t="s">
        <v>232</v>
      </c>
      <c r="D55" s="4" t="s">
        <v>29</v>
      </c>
      <c r="E55" s="4" t="s">
        <v>16</v>
      </c>
      <c r="F55" s="6">
        <v>180</v>
      </c>
      <c r="G55" s="6">
        <v>53680.61</v>
      </c>
    </row>
    <row r="56" ht="26" customHeight="1" spans="1:7" x14ac:dyDescent="0.25">
      <c r="A56" s="33" t="s">
        <v>15</v>
      </c>
      <c r="B56" s="33" t="s">
        <v>15</v>
      </c>
      <c r="C56" s="33" t="s">
        <v>316</v>
      </c>
      <c r="D56" s="33" t="s">
        <v>15</v>
      </c>
      <c r="E56" s="33" t="s">
        <v>15</v>
      </c>
      <c r="F56" s="34">
        <v>53680.61</v>
      </c>
      <c r="G56" s="33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Transactions</vt:lpstr>
      <vt:lpstr>Quarterly Summary</vt:lpstr>
      <vt:lpstr>Circuit Breakdown</vt:lpstr>
      <vt:lpstr>Category Analysis</vt:lpstr>
      <vt:lpstr>Inventory Movements</vt:lpstr>
      <vt:lpstr>Outstanding Debts</vt:lpstr>
      <vt:lpstr>Annual Comparison</vt:lpstr>
      <vt:lpstr>Receipts Ledger</vt:lpstr>
      <vt:lpstr>Payments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Virtual Assistant</dc:creator>
  <dc:title/>
  <dc:subject/>
  <dc:description/>
  <cp:keywords/>
  <cp:category/>
  <cp:lastModifiedBy>Unknown</cp:lastModifiedBy>
  <dcterms:created xsi:type="dcterms:W3CDTF">2026-03-02T02:55:21Z</dcterms:created>
  <dcterms:modified xsi:type="dcterms:W3CDTF">2026-03-02T02:55:21Z</dcterms:modified>
</cp:coreProperties>
</file>